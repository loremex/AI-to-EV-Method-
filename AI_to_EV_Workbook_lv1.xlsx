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8d49d35a769103d/Loremex/AI to EV Services/"/>
    </mc:Choice>
  </mc:AlternateContent>
  <xr:revisionPtr revIDLastSave="0" documentId="8_{05693797-3F5A-466D-BE56-BE8539EBBF46}" xr6:coauthVersionLast="47" xr6:coauthVersionMax="47" xr10:uidLastSave="{00000000-0000-0000-0000-000000000000}"/>
  <bookViews>
    <workbookView xWindow="-120" yWindow="-120" windowWidth="29040" windowHeight="15720" tabRatio="500" firstSheet="7" activeTab="10" xr2:uid="{00000000-000D-0000-FFFF-FFFF00000000}"/>
  </bookViews>
  <sheets>
    <sheet name="0_AI_to_EV_Bridge" sheetId="1" r:id="rId1"/>
    <sheet name="1_Industry_Rubric" sheetId="2" r:id="rId2"/>
    <sheet name="2_Capability_Assessment" sheetId="3" r:id="rId3"/>
    <sheet name="3_Distance_to_Frontier" sheetId="4" r:id="rId4"/>
    <sheet name="4b_Value_Pools_by_Capability" sheetId="5" r:id="rId5"/>
    <sheet name="4d_Metric_Impact" sheetId="6" r:id="rId6"/>
    <sheet name="4m_Exit_Multiple" sheetId="7" r:id="rId7"/>
    <sheet name="5_Implementation_Feasibility" sheetId="8" r:id="rId8"/>
    <sheet name="6_Implementation_Cost" sheetId="9" r:id="rId9"/>
    <sheet name="7_Value_Timing" sheetId="10" r:id="rId10"/>
    <sheet name="8_Enterprise_Value"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11" l="1"/>
  <c r="C25" i="11"/>
  <c r="D51" i="10"/>
  <c r="D50" i="10"/>
  <c r="D49" i="10"/>
  <c r="D48" i="10"/>
  <c r="D47" i="10"/>
  <c r="D46" i="10"/>
  <c r="D45" i="10"/>
  <c r="D44" i="10"/>
  <c r="D43" i="10"/>
  <c r="D42" i="10"/>
  <c r="D41" i="10"/>
  <c r="D40" i="10"/>
  <c r="D39" i="10"/>
  <c r="D38" i="10"/>
  <c r="D37" i="10"/>
  <c r="D36" i="10"/>
  <c r="D35" i="10"/>
  <c r="D34" i="10"/>
  <c r="D33" i="10"/>
  <c r="D32" i="10"/>
  <c r="D31" i="10"/>
  <c r="D29" i="10"/>
  <c r="D28" i="10"/>
  <c r="C87" i="9"/>
  <c r="C86" i="9"/>
  <c r="C85" i="9"/>
  <c r="C84" i="9"/>
  <c r="C83" i="9"/>
  <c r="C82" i="9"/>
  <c r="C81" i="9"/>
  <c r="C80" i="9"/>
  <c r="C79" i="9"/>
  <c r="C78" i="9"/>
  <c r="C88" i="9" s="1"/>
  <c r="C68" i="9"/>
  <c r="D61" i="9"/>
  <c r="D60" i="9"/>
  <c r="D59" i="9"/>
  <c r="C48" i="9"/>
  <c r="D47" i="9"/>
  <c r="D46" i="9"/>
  <c r="D45" i="9"/>
  <c r="D44" i="9"/>
  <c r="C30" i="9"/>
  <c r="E26" i="9"/>
  <c r="C26" i="9"/>
  <c r="E25" i="9"/>
  <c r="F24" i="9"/>
  <c r="E24" i="9"/>
  <c r="C6" i="9"/>
  <c r="C5" i="9"/>
  <c r="E22" i="8"/>
  <c r="D20" i="8"/>
  <c r="E20" i="8" s="1"/>
  <c r="E19" i="8"/>
  <c r="E12" i="8"/>
  <c r="E11" i="8"/>
  <c r="E10" i="8"/>
  <c r="E13" i="8" s="1"/>
  <c r="D5" i="8"/>
  <c r="C5" i="8"/>
  <c r="L42" i="6"/>
  <c r="L41" i="6"/>
  <c r="L40" i="6"/>
  <c r="L39" i="6"/>
  <c r="L38" i="6"/>
  <c r="L37" i="6"/>
  <c r="L36" i="6"/>
  <c r="L35" i="6"/>
  <c r="L34" i="6"/>
  <c r="L33" i="6"/>
  <c r="F21" i="6"/>
  <c r="C21" i="6"/>
  <c r="F20" i="6"/>
  <c r="C20" i="6"/>
  <c r="F19" i="6"/>
  <c r="C7" i="6"/>
  <c r="H92" i="5"/>
  <c r="H91" i="5"/>
  <c r="H90" i="5"/>
  <c r="H89" i="5"/>
  <c r="E89" i="5"/>
  <c r="F89" i="5" s="1"/>
  <c r="H88" i="5"/>
  <c r="E88" i="5"/>
  <c r="F88" i="5" s="1"/>
  <c r="H87" i="5"/>
  <c r="E87" i="5"/>
  <c r="F87" i="5" s="1"/>
  <c r="H86" i="5"/>
  <c r="E86" i="5"/>
  <c r="F86" i="5" s="1"/>
  <c r="H85" i="5"/>
  <c r="E85" i="5"/>
  <c r="F85" i="5" s="1"/>
  <c r="H84" i="5"/>
  <c r="E84" i="5"/>
  <c r="F84" i="5" s="1"/>
  <c r="H83" i="5"/>
  <c r="E83" i="5"/>
  <c r="F83" i="5" s="1"/>
  <c r="H82" i="5"/>
  <c r="H81" i="5"/>
  <c r="H80" i="5"/>
  <c r="H79" i="5"/>
  <c r="H78" i="5"/>
  <c r="H77" i="5"/>
  <c r="H76" i="5"/>
  <c r="H75" i="5"/>
  <c r="H74" i="5"/>
  <c r="H73" i="5"/>
  <c r="H72" i="5"/>
  <c r="H71" i="5"/>
  <c r="H70" i="5"/>
  <c r="H69" i="5"/>
  <c r="H68" i="5"/>
  <c r="H67" i="5"/>
  <c r="H66" i="5"/>
  <c r="H65" i="5"/>
  <c r="H64" i="5"/>
  <c r="H63" i="5"/>
  <c r="H62" i="5"/>
  <c r="H61" i="5"/>
  <c r="H60" i="5"/>
  <c r="H59" i="5"/>
  <c r="H58" i="5"/>
  <c r="H57" i="5"/>
  <c r="E24" i="5"/>
  <c r="E23" i="5"/>
  <c r="E22" i="5"/>
  <c r="E21" i="5"/>
  <c r="E20" i="5"/>
  <c r="E19" i="5"/>
  <c r="E18" i="5"/>
  <c r="E17" i="5"/>
  <c r="C16" i="5"/>
  <c r="C15" i="5"/>
  <c r="D11" i="5"/>
  <c r="D10" i="5"/>
  <c r="G99" i="3"/>
  <c r="F99" i="3"/>
  <c r="D99" i="3"/>
  <c r="C99" i="3"/>
  <c r="G98" i="3"/>
  <c r="F98" i="3"/>
  <c r="D98" i="3"/>
  <c r="C98" i="3"/>
  <c r="I97" i="3"/>
  <c r="H97" i="3"/>
  <c r="G97" i="3"/>
  <c r="F97" i="3"/>
  <c r="E97" i="3"/>
  <c r="D97" i="3"/>
  <c r="C97" i="3"/>
  <c r="I96" i="3"/>
  <c r="H96" i="3"/>
  <c r="G96" i="3"/>
  <c r="F96" i="3"/>
  <c r="E96" i="3"/>
  <c r="D96" i="3"/>
  <c r="C96" i="3"/>
  <c r="I95" i="3"/>
  <c r="H95" i="3"/>
  <c r="G95" i="3"/>
  <c r="F95" i="3"/>
  <c r="E95" i="3"/>
  <c r="D95" i="3"/>
  <c r="C95" i="3"/>
  <c r="I94" i="3"/>
  <c r="H94" i="3"/>
  <c r="G94" i="3"/>
  <c r="F94" i="3"/>
  <c r="E94" i="3"/>
  <c r="D94" i="3"/>
  <c r="C94" i="3"/>
  <c r="I93" i="3"/>
  <c r="H93" i="3"/>
  <c r="G93" i="3"/>
  <c r="F93" i="3"/>
  <c r="E93" i="3"/>
  <c r="D93" i="3"/>
  <c r="C93" i="3"/>
  <c r="I92" i="3"/>
  <c r="H92" i="3"/>
  <c r="G92" i="3"/>
  <c r="F92" i="3"/>
  <c r="E92" i="3"/>
  <c r="D92" i="3"/>
  <c r="C92" i="3"/>
  <c r="I91" i="3"/>
  <c r="H91" i="3"/>
  <c r="G91" i="3"/>
  <c r="F91" i="3"/>
  <c r="E91" i="3"/>
  <c r="D91" i="3"/>
  <c r="C91" i="3"/>
  <c r="I90" i="3"/>
  <c r="H90" i="3"/>
  <c r="G90" i="3"/>
  <c r="F90" i="3"/>
  <c r="E90" i="3"/>
  <c r="D90" i="3"/>
  <c r="C90" i="3"/>
  <c r="I89" i="3"/>
  <c r="H89" i="3"/>
  <c r="G89" i="3"/>
  <c r="F89" i="3"/>
  <c r="E89" i="3"/>
  <c r="D89" i="3"/>
  <c r="C89" i="3"/>
  <c r="E81" i="3"/>
  <c r="E80" i="3"/>
  <c r="C82" i="3" s="1"/>
  <c r="C21" i="4" s="1"/>
  <c r="C75" i="3"/>
  <c r="D65" i="3"/>
  <c r="D64" i="3"/>
  <c r="C64" i="3"/>
  <c r="E64" i="3" s="1"/>
  <c r="D63" i="3"/>
  <c r="C63" i="3"/>
  <c r="E63" i="3" s="1"/>
  <c r="D62" i="3"/>
  <c r="D61" i="3"/>
  <c r="C61" i="3"/>
  <c r="E61" i="3" s="1"/>
  <c r="C73" i="3" s="1"/>
  <c r="D60" i="3"/>
  <c r="C60" i="3"/>
  <c r="E60" i="3" s="1"/>
  <c r="G55" i="3"/>
  <c r="D55" i="3"/>
  <c r="G54" i="3"/>
  <c r="D54" i="3"/>
  <c r="G53" i="3"/>
  <c r="D53" i="3"/>
  <c r="G52" i="3"/>
  <c r="D52" i="3"/>
  <c r="G51" i="3"/>
  <c r="D51" i="3"/>
  <c r="G50" i="3"/>
  <c r="D50" i="3"/>
  <c r="G49" i="3"/>
  <c r="D49" i="3"/>
  <c r="G48" i="3"/>
  <c r="D48" i="3"/>
  <c r="G47" i="3"/>
  <c r="D47" i="3"/>
  <c r="G46" i="3"/>
  <c r="D46" i="3"/>
  <c r="N41" i="3"/>
  <c r="M41" i="3"/>
  <c r="E92" i="5" s="1"/>
  <c r="F92" i="5" s="1"/>
  <c r="K41" i="3"/>
  <c r="O41" i="3" s="1"/>
  <c r="N40" i="3"/>
  <c r="M40" i="3"/>
  <c r="K40" i="3"/>
  <c r="N39" i="3"/>
  <c r="M39" i="3"/>
  <c r="K39" i="3"/>
  <c r="O39" i="3" s="1"/>
  <c r="N38" i="3"/>
  <c r="M38" i="3"/>
  <c r="K38" i="3"/>
  <c r="O38" i="3" s="1"/>
  <c r="N37" i="3"/>
  <c r="M37" i="3"/>
  <c r="K37" i="3"/>
  <c r="O37" i="3" s="1"/>
  <c r="N36" i="3"/>
  <c r="M36" i="3"/>
  <c r="K36" i="3"/>
  <c r="O36" i="3" s="1"/>
  <c r="N35" i="3"/>
  <c r="M35" i="3"/>
  <c r="K35" i="3"/>
  <c r="O35" i="3" s="1"/>
  <c r="C54" i="3" s="1"/>
  <c r="N34" i="3"/>
  <c r="M34" i="3"/>
  <c r="K34" i="3"/>
  <c r="O34" i="3" s="1"/>
  <c r="N33" i="3"/>
  <c r="M33" i="3"/>
  <c r="K33" i="3"/>
  <c r="O33" i="3" s="1"/>
  <c r="N32" i="3"/>
  <c r="M32" i="3"/>
  <c r="K32" i="3"/>
  <c r="O32" i="3" s="1"/>
  <c r="C53" i="3" s="1"/>
  <c r="N31" i="3"/>
  <c r="M31" i="3"/>
  <c r="E82" i="5" s="1"/>
  <c r="K31" i="3"/>
  <c r="O31" i="3" s="1"/>
  <c r="N30" i="3"/>
  <c r="M30" i="3"/>
  <c r="E81" i="5" s="1"/>
  <c r="F81" i="5" s="1"/>
  <c r="K30" i="3"/>
  <c r="O30" i="3" s="1"/>
  <c r="N29" i="3"/>
  <c r="M29" i="3"/>
  <c r="E80" i="5" s="1"/>
  <c r="F80" i="5" s="1"/>
  <c r="K29" i="3"/>
  <c r="O29" i="3" s="1"/>
  <c r="C52" i="3" s="1"/>
  <c r="N28" i="3"/>
  <c r="M28" i="3"/>
  <c r="E79" i="5" s="1"/>
  <c r="F79" i="5" s="1"/>
  <c r="K28" i="3"/>
  <c r="O28" i="3" s="1"/>
  <c r="N27" i="3"/>
  <c r="M27" i="3"/>
  <c r="E78" i="5" s="1"/>
  <c r="F78" i="5" s="1"/>
  <c r="K27" i="3"/>
  <c r="O27" i="3" s="1"/>
  <c r="N26" i="3"/>
  <c r="M26" i="3"/>
  <c r="E77" i="5" s="1"/>
  <c r="F77" i="5" s="1"/>
  <c r="K26" i="3"/>
  <c r="O26" i="3" s="1"/>
  <c r="N25" i="3"/>
  <c r="M25" i="3"/>
  <c r="E76" i="5" s="1"/>
  <c r="F76" i="5" s="1"/>
  <c r="K25" i="3"/>
  <c r="O25" i="3" s="1"/>
  <c r="C51" i="3" s="1"/>
  <c r="N24" i="3"/>
  <c r="M24" i="3"/>
  <c r="E75" i="5" s="1"/>
  <c r="F75" i="5" s="1"/>
  <c r="K24" i="3"/>
  <c r="O24" i="3" s="1"/>
  <c r="N23" i="3"/>
  <c r="M23" i="3"/>
  <c r="E74" i="5" s="1"/>
  <c r="F74" i="5" s="1"/>
  <c r="K23" i="3"/>
  <c r="O23" i="3" s="1"/>
  <c r="N22" i="3"/>
  <c r="M22" i="3"/>
  <c r="E73" i="5" s="1"/>
  <c r="F73" i="5" s="1"/>
  <c r="K22" i="3"/>
  <c r="O22" i="3" s="1"/>
  <c r="C50" i="3" s="1"/>
  <c r="N21" i="3"/>
  <c r="M21" i="3"/>
  <c r="E72" i="5" s="1"/>
  <c r="F72" i="5" s="1"/>
  <c r="K21" i="3"/>
  <c r="O21" i="3" s="1"/>
  <c r="N20" i="3"/>
  <c r="M20" i="3"/>
  <c r="E71" i="5" s="1"/>
  <c r="F71" i="5" s="1"/>
  <c r="K20" i="3"/>
  <c r="O20" i="3" s="1"/>
  <c r="N19" i="3"/>
  <c r="M19" i="3"/>
  <c r="E70" i="5" s="1"/>
  <c r="F70" i="5" s="1"/>
  <c r="K19" i="3"/>
  <c r="O19" i="3" s="1"/>
  <c r="N18" i="3"/>
  <c r="M18" i="3"/>
  <c r="E69" i="5" s="1"/>
  <c r="F69" i="5" s="1"/>
  <c r="K18" i="3"/>
  <c r="O18" i="3" s="1"/>
  <c r="C49" i="3" s="1"/>
  <c r="N17" i="3"/>
  <c r="M17" i="3"/>
  <c r="E68" i="5" s="1"/>
  <c r="F68" i="5" s="1"/>
  <c r="K17" i="3"/>
  <c r="O17" i="3" s="1"/>
  <c r="N16" i="3"/>
  <c r="M16" i="3"/>
  <c r="E67" i="5" s="1"/>
  <c r="F67" i="5" s="1"/>
  <c r="K16" i="3"/>
  <c r="O16" i="3" s="1"/>
  <c r="N15" i="3"/>
  <c r="M15" i="3"/>
  <c r="E66" i="5" s="1"/>
  <c r="F66" i="5" s="1"/>
  <c r="K15" i="3"/>
  <c r="O15" i="3" s="1"/>
  <c r="N14" i="3"/>
  <c r="M14" i="3"/>
  <c r="E65" i="5" s="1"/>
  <c r="F65" i="5" s="1"/>
  <c r="K14" i="3"/>
  <c r="O14" i="3" s="1"/>
  <c r="N13" i="3"/>
  <c r="M13" i="3"/>
  <c r="E64" i="5" s="1"/>
  <c r="F64" i="5" s="1"/>
  <c r="K13" i="3"/>
  <c r="O13" i="3" s="1"/>
  <c r="C48" i="3" s="1"/>
  <c r="N12" i="3"/>
  <c r="M12" i="3"/>
  <c r="E63" i="5" s="1"/>
  <c r="K12" i="3"/>
  <c r="O12" i="3" s="1"/>
  <c r="N11" i="3"/>
  <c r="M11" i="3"/>
  <c r="E62" i="5" s="1"/>
  <c r="K11" i="3"/>
  <c r="O11" i="3" s="1"/>
  <c r="C47" i="3" s="1"/>
  <c r="N10" i="3"/>
  <c r="M10" i="3"/>
  <c r="E61" i="5" s="1"/>
  <c r="K10" i="3"/>
  <c r="O10" i="3" s="1"/>
  <c r="N9" i="3"/>
  <c r="M9" i="3"/>
  <c r="E60" i="5" s="1"/>
  <c r="K9" i="3"/>
  <c r="O9" i="3" s="1"/>
  <c r="N8" i="3"/>
  <c r="M8" i="3"/>
  <c r="E59" i="5" s="1"/>
  <c r="K8" i="3"/>
  <c r="O8" i="3" s="1"/>
  <c r="N7" i="3"/>
  <c r="M7" i="3"/>
  <c r="E58" i="5" s="1"/>
  <c r="K7" i="3"/>
  <c r="O7" i="3" s="1"/>
  <c r="N6" i="3"/>
  <c r="I99" i="3" s="1"/>
  <c r="M6" i="3"/>
  <c r="E57" i="5" s="1"/>
  <c r="K6" i="3"/>
  <c r="O6" i="3" s="1"/>
  <c r="J110" i="2"/>
  <c r="I110" i="2"/>
  <c r="J109" i="2"/>
  <c r="I109" i="2"/>
  <c r="J108" i="2"/>
  <c r="I108" i="2"/>
  <c r="J107" i="2"/>
  <c r="I107" i="2"/>
  <c r="J106" i="2"/>
  <c r="I106" i="2"/>
  <c r="J105" i="2"/>
  <c r="I105" i="2"/>
  <c r="J104" i="2"/>
  <c r="I104" i="2"/>
  <c r="J103" i="2"/>
  <c r="I103" i="2"/>
  <c r="J102" i="2"/>
  <c r="I102" i="2"/>
  <c r="J101" i="2"/>
  <c r="I101" i="2"/>
  <c r="E21" i="2"/>
  <c r="D44" i="1"/>
  <c r="P24" i="1"/>
  <c r="M24" i="1"/>
  <c r="C21" i="1"/>
  <c r="C13" i="1"/>
  <c r="C11" i="1"/>
  <c r="C12" i="1" s="1"/>
  <c r="C9" i="1"/>
  <c r="C20" i="4"/>
  <c r="C19" i="4"/>
  <c r="I15" i="4"/>
  <c r="B15" i="4"/>
  <c r="I14" i="4"/>
  <c r="B14" i="4"/>
  <c r="I13" i="4"/>
  <c r="B13" i="4"/>
  <c r="I12" i="4"/>
  <c r="B12" i="4"/>
  <c r="I11" i="4"/>
  <c r="B11" i="4"/>
  <c r="I10" i="4"/>
  <c r="B10" i="4"/>
  <c r="I9" i="4"/>
  <c r="B9" i="4"/>
  <c r="I8" i="4"/>
  <c r="B8" i="4"/>
  <c r="B7" i="4"/>
  <c r="B6" i="4"/>
  <c r="C86" i="11" l="1"/>
  <c r="C85" i="11"/>
  <c r="D48" i="9"/>
  <c r="C50" i="9"/>
  <c r="D63" i="9"/>
  <c r="D62" i="9"/>
  <c r="C60" i="9"/>
  <c r="E60" i="9" s="1"/>
  <c r="F60" i="9" s="1"/>
  <c r="C63" i="9"/>
  <c r="E63" i="9" s="1"/>
  <c r="F63" i="9" s="1"/>
  <c r="C62" i="9"/>
  <c r="E62" i="9" s="1"/>
  <c r="F62" i="9" s="1"/>
  <c r="C61" i="9"/>
  <c r="E61" i="9" s="1"/>
  <c r="F61" i="9" s="1"/>
  <c r="C49" i="9"/>
  <c r="F25" i="9"/>
  <c r="C25" i="9" s="1"/>
  <c r="E27" i="9"/>
  <c r="C24" i="9"/>
  <c r="F27" i="9"/>
  <c r="C7" i="9"/>
  <c r="G7" i="9" s="1"/>
  <c r="C7" i="10"/>
  <c r="C21" i="10" s="1"/>
  <c r="C6" i="10"/>
  <c r="C8" i="9"/>
  <c r="G8" i="9" s="1"/>
  <c r="E21" i="8"/>
  <c r="E15" i="8"/>
  <c r="C22" i="7"/>
  <c r="D22" i="7" s="1"/>
  <c r="F82" i="5"/>
  <c r="E16" i="5"/>
  <c r="E15" i="5"/>
  <c r="C72" i="3"/>
  <c r="C74" i="3" s="1"/>
  <c r="C17" i="4"/>
  <c r="J24" i="5"/>
  <c r="D15" i="4"/>
  <c r="E15" i="4" s="1"/>
  <c r="E55" i="3"/>
  <c r="J23" i="5"/>
  <c r="D14" i="4"/>
  <c r="E14" i="4" s="1"/>
  <c r="E54" i="3"/>
  <c r="J22" i="5"/>
  <c r="D13" i="4"/>
  <c r="E13" i="4" s="1"/>
  <c r="E53" i="3"/>
  <c r="D12" i="4"/>
  <c r="E12" i="4" s="1"/>
  <c r="J21" i="5"/>
  <c r="E52" i="3"/>
  <c r="E51" i="3"/>
  <c r="D11" i="4"/>
  <c r="E11" i="4" s="1"/>
  <c r="J20" i="5"/>
  <c r="D10" i="4"/>
  <c r="J19" i="5"/>
  <c r="E50" i="3"/>
  <c r="D9" i="4"/>
  <c r="E49" i="3"/>
  <c r="J18" i="5"/>
  <c r="J17" i="5"/>
  <c r="D8" i="4"/>
  <c r="E48" i="3"/>
  <c r="D7" i="4"/>
  <c r="E47" i="3"/>
  <c r="J16" i="5"/>
  <c r="J15" i="5"/>
  <c r="D6" i="4"/>
  <c r="C65" i="3"/>
  <c r="E65" i="3" s="1"/>
  <c r="H98" i="3"/>
  <c r="H99" i="3"/>
  <c r="I98" i="3"/>
  <c r="E98" i="3"/>
  <c r="E99" i="3"/>
  <c r="C62" i="3"/>
  <c r="E62" i="3" s="1"/>
  <c r="E91" i="5"/>
  <c r="F91" i="5" s="1"/>
  <c r="E90" i="5"/>
  <c r="F90" i="5" s="1"/>
  <c r="C69" i="3"/>
  <c r="O40" i="3"/>
  <c r="C55" i="3" s="1"/>
  <c r="F55" i="3"/>
  <c r="C15" i="4"/>
  <c r="I24" i="5"/>
  <c r="F54" i="3"/>
  <c r="C14" i="4"/>
  <c r="I23" i="5"/>
  <c r="C13" i="4"/>
  <c r="F53" i="3"/>
  <c r="I22" i="5"/>
  <c r="C12" i="4"/>
  <c r="I21" i="5"/>
  <c r="F52" i="3"/>
  <c r="F51" i="3"/>
  <c r="C11" i="4"/>
  <c r="I20" i="5"/>
  <c r="M20" i="5" s="1"/>
  <c r="C10" i="4"/>
  <c r="F50" i="3"/>
  <c r="I19" i="5"/>
  <c r="M19" i="5" s="1"/>
  <c r="I18" i="5"/>
  <c r="M18" i="5" s="1"/>
  <c r="C9" i="4"/>
  <c r="F49" i="3"/>
  <c r="F48" i="3"/>
  <c r="C8" i="4"/>
  <c r="I17" i="5"/>
  <c r="M17" i="5" s="1"/>
  <c r="F47" i="3"/>
  <c r="I16" i="5"/>
  <c r="M16" i="5" s="1"/>
  <c r="C7" i="4"/>
  <c r="C68" i="3"/>
  <c r="C71" i="3" s="1"/>
  <c r="C46" i="3"/>
  <c r="E46" i="3" s="1"/>
  <c r="D41" i="1"/>
  <c r="C42" i="1"/>
  <c r="E22" i="7"/>
  <c r="C26" i="11"/>
  <c r="E20" i="4"/>
  <c r="F20" i="4"/>
  <c r="F19" i="4"/>
  <c r="E19" i="4"/>
  <c r="C27" i="9" l="1"/>
  <c r="D24" i="9" s="1"/>
  <c r="C18" i="10"/>
  <c r="C20" i="10"/>
  <c r="F62" i="5"/>
  <c r="F63" i="5"/>
  <c r="I7" i="4"/>
  <c r="E25" i="5"/>
  <c r="F57" i="5"/>
  <c r="F58" i="5"/>
  <c r="F59" i="5"/>
  <c r="F60" i="5"/>
  <c r="F61" i="5"/>
  <c r="I6" i="4"/>
  <c r="F15" i="4"/>
  <c r="G15" i="4"/>
  <c r="F14" i="4"/>
  <c r="G14" i="4"/>
  <c r="F13" i="4"/>
  <c r="G13" i="4"/>
  <c r="F12" i="4"/>
  <c r="G12" i="4"/>
  <c r="F11" i="4"/>
  <c r="G11" i="4"/>
  <c r="F10" i="4"/>
  <c r="G10" i="4"/>
  <c r="F9" i="4"/>
  <c r="G9" i="4"/>
  <c r="F8" i="4"/>
  <c r="G8" i="4"/>
  <c r="F7" i="4"/>
  <c r="G7" i="4"/>
  <c r="C6" i="4"/>
  <c r="F46" i="3"/>
  <c r="I15" i="5"/>
  <c r="M15" i="5" s="1"/>
  <c r="F22" i="7"/>
  <c r="D33" i="11"/>
  <c r="E10" i="4"/>
  <c r="E9" i="4"/>
  <c r="E8" i="4"/>
  <c r="E7" i="4"/>
  <c r="C70" i="3"/>
  <c r="M24" i="5"/>
  <c r="M23" i="5"/>
  <c r="M22" i="5"/>
  <c r="M21" i="5"/>
  <c r="C34" i="9" l="1"/>
  <c r="H34" i="9" s="1"/>
  <c r="C59" i="9"/>
  <c r="E59" i="9" s="1"/>
  <c r="C35" i="9"/>
  <c r="H35" i="9" s="1"/>
  <c r="D25" i="9"/>
  <c r="D27" i="9" s="1"/>
  <c r="D26" i="9"/>
  <c r="C28" i="9"/>
  <c r="C29" i="9"/>
  <c r="C19" i="10"/>
  <c r="F19" i="10"/>
  <c r="C68" i="10"/>
  <c r="C22" i="10"/>
  <c r="F22" i="10"/>
  <c r="E28" i="5"/>
  <c r="C6" i="11" s="1"/>
  <c r="E6" i="4"/>
  <c r="F6" i="4"/>
  <c r="G6" i="4"/>
  <c r="L24" i="5"/>
  <c r="L23" i="5"/>
  <c r="L22" i="5"/>
  <c r="L21" i="5"/>
  <c r="L20" i="5"/>
  <c r="L19" i="5"/>
  <c r="L18" i="5"/>
  <c r="L17" i="5"/>
  <c r="L16" i="5"/>
  <c r="L15" i="5"/>
  <c r="F93" i="5"/>
  <c r="C65" i="9" l="1"/>
  <c r="C69" i="9" s="1"/>
  <c r="F59" i="9"/>
  <c r="C64" i="9" s="1"/>
  <c r="C29" i="11" s="1"/>
  <c r="C28" i="10"/>
  <c r="C29" i="10"/>
  <c r="C23" i="10"/>
  <c r="C24" i="10"/>
  <c r="C31" i="10"/>
  <c r="C32" i="10"/>
  <c r="C33" i="10"/>
  <c r="C34" i="10"/>
  <c r="C35" i="10"/>
  <c r="C36" i="10"/>
  <c r="C37" i="10"/>
  <c r="C38" i="10"/>
  <c r="C39" i="10"/>
  <c r="C40" i="10"/>
  <c r="C41" i="10"/>
  <c r="C42" i="10"/>
  <c r="C43" i="10"/>
  <c r="C44" i="10"/>
  <c r="C45" i="10"/>
  <c r="C46" i="10"/>
  <c r="C47" i="10"/>
  <c r="C48" i="10"/>
  <c r="C49" i="10"/>
  <c r="C50" i="10"/>
  <c r="C51" i="10"/>
  <c r="D6" i="11"/>
  <c r="F24" i="5"/>
  <c r="O24" i="5"/>
  <c r="H15" i="4"/>
  <c r="F23" i="5"/>
  <c r="O23" i="5"/>
  <c r="H14" i="4"/>
  <c r="F22" i="5"/>
  <c r="O22" i="5"/>
  <c r="H13" i="4"/>
  <c r="F21" i="5"/>
  <c r="O21" i="5"/>
  <c r="H12" i="4"/>
  <c r="F20" i="5"/>
  <c r="O20" i="5"/>
  <c r="H11" i="4"/>
  <c r="F19" i="5"/>
  <c r="O19" i="5"/>
  <c r="H10" i="4"/>
  <c r="F18" i="5"/>
  <c r="O18" i="5"/>
  <c r="H9" i="4"/>
  <c r="O17" i="5"/>
  <c r="F17" i="5"/>
  <c r="H8" i="4"/>
  <c r="O16" i="5"/>
  <c r="F16" i="5"/>
  <c r="H7" i="4"/>
  <c r="O15" i="5"/>
  <c r="F15" i="5"/>
  <c r="E36" i="5"/>
  <c r="H6" i="4"/>
  <c r="C25" i="10" l="1"/>
  <c r="F25" i="10"/>
  <c r="J15" i="4"/>
  <c r="K15" i="4" s="1"/>
  <c r="G92" i="5"/>
  <c r="G91" i="5"/>
  <c r="G90" i="5"/>
  <c r="R24" i="5"/>
  <c r="Q24" i="5"/>
  <c r="J14" i="4"/>
  <c r="K14" i="4" s="1"/>
  <c r="G89" i="5"/>
  <c r="G88" i="5"/>
  <c r="G87" i="5"/>
  <c r="G86" i="5"/>
  <c r="R23" i="5"/>
  <c r="Q23" i="5"/>
  <c r="J13" i="4"/>
  <c r="K13" i="4" s="1"/>
  <c r="G85" i="5"/>
  <c r="G84" i="5"/>
  <c r="G83" i="5"/>
  <c r="R22" i="5"/>
  <c r="Q22" i="5"/>
  <c r="J12" i="4"/>
  <c r="K12" i="4" s="1"/>
  <c r="G82" i="5"/>
  <c r="G81" i="5"/>
  <c r="G80" i="5"/>
  <c r="R21" i="5"/>
  <c r="Q21" i="5"/>
  <c r="J11" i="4"/>
  <c r="K11" i="4" s="1"/>
  <c r="G79" i="5"/>
  <c r="G78" i="5"/>
  <c r="G77" i="5"/>
  <c r="G76" i="5"/>
  <c r="R20" i="5"/>
  <c r="Q20" i="5"/>
  <c r="J10" i="4"/>
  <c r="K10" i="4" s="1"/>
  <c r="G75" i="5"/>
  <c r="G74" i="5"/>
  <c r="G73" i="5"/>
  <c r="R19" i="5"/>
  <c r="Q19" i="5"/>
  <c r="J9" i="4"/>
  <c r="K9" i="4" s="1"/>
  <c r="G72" i="5"/>
  <c r="G71" i="5"/>
  <c r="G70" i="5"/>
  <c r="G69" i="5"/>
  <c r="R18" i="5"/>
  <c r="Q18" i="5"/>
  <c r="J8" i="4"/>
  <c r="K8" i="4" s="1"/>
  <c r="G68" i="5"/>
  <c r="G67" i="5"/>
  <c r="G66" i="5"/>
  <c r="G65" i="5"/>
  <c r="G64" i="5"/>
  <c r="R17" i="5"/>
  <c r="Q17" i="5"/>
  <c r="J7" i="4"/>
  <c r="K7" i="4" s="1"/>
  <c r="G63" i="5"/>
  <c r="G62" i="5"/>
  <c r="R16" i="5"/>
  <c r="Q16" i="5"/>
  <c r="J6" i="4"/>
  <c r="K6" i="4" s="1"/>
  <c r="G61" i="5"/>
  <c r="G60" i="5"/>
  <c r="G59" i="5"/>
  <c r="G58" i="5"/>
  <c r="G57" i="5"/>
  <c r="E35" i="5"/>
  <c r="O25" i="5"/>
  <c r="R15" i="5"/>
  <c r="Q15" i="5"/>
  <c r="D14" i="6"/>
  <c r="D16" i="6"/>
  <c r="E16" i="6" s="1"/>
  <c r="D17" i="6"/>
  <c r="D11" i="6"/>
  <c r="E11" i="6" s="1"/>
  <c r="F11" i="6"/>
  <c r="D12" i="6"/>
  <c r="E12" i="6" s="1"/>
  <c r="F12" i="6"/>
  <c r="D13" i="6"/>
  <c r="E13" i="6" s="1"/>
  <c r="F13" i="6"/>
  <c r="F14" i="6"/>
  <c r="D15" i="6"/>
  <c r="E15" i="6" s="1"/>
  <c r="F15" i="6"/>
  <c r="F16" i="6"/>
  <c r="F17" i="6"/>
  <c r="D18" i="6"/>
  <c r="E18" i="6" s="1"/>
  <c r="F18" i="6"/>
  <c r="Z15" i="5" l="1"/>
  <c r="AA15" i="5" s="1"/>
  <c r="AB15" i="5" s="1"/>
  <c r="Z16" i="5"/>
  <c r="AA16" i="5" s="1"/>
  <c r="AB16" i="5" s="1"/>
  <c r="Z17" i="5"/>
  <c r="AA17" i="5" s="1"/>
  <c r="AB17" i="5" s="1"/>
  <c r="D86" i="9" s="1"/>
  <c r="Z18" i="5"/>
  <c r="AA18" i="5" s="1"/>
  <c r="AB18" i="5" s="1"/>
  <c r="Z19" i="5"/>
  <c r="AA19" i="5" s="1"/>
  <c r="AB19" i="5" s="1"/>
  <c r="Z20" i="5"/>
  <c r="AA20" i="5" s="1"/>
  <c r="AB20" i="5" s="1"/>
  <c r="Z21" i="5"/>
  <c r="AA21" i="5" s="1"/>
  <c r="AB21" i="5" s="1"/>
  <c r="Z22" i="5"/>
  <c r="AA22" i="5" s="1"/>
  <c r="AB22" i="5" s="1"/>
  <c r="Z23" i="5"/>
  <c r="AA23" i="5" s="1"/>
  <c r="AB23" i="5" s="1"/>
  <c r="Z24" i="5"/>
  <c r="AA24" i="5" s="1"/>
  <c r="AB24" i="5" s="1"/>
  <c r="W24" i="5"/>
  <c r="X24" i="5"/>
  <c r="H86" i="9"/>
  <c r="W23" i="5"/>
  <c r="X23" i="5"/>
  <c r="D85" i="9"/>
  <c r="H85" i="9"/>
  <c r="W22" i="5"/>
  <c r="X22" i="5"/>
  <c r="D84" i="9"/>
  <c r="H84" i="9"/>
  <c r="W21" i="5"/>
  <c r="X21" i="5"/>
  <c r="D83" i="9"/>
  <c r="H83" i="9"/>
  <c r="W20" i="5"/>
  <c r="X20" i="5"/>
  <c r="D82" i="9"/>
  <c r="H82" i="9"/>
  <c r="W19" i="5"/>
  <c r="X19" i="5"/>
  <c r="D81" i="9"/>
  <c r="H81" i="9"/>
  <c r="W18" i="5"/>
  <c r="X18" i="5"/>
  <c r="D80" i="9"/>
  <c r="H80" i="9"/>
  <c r="W17" i="5"/>
  <c r="X17" i="5"/>
  <c r="D79" i="9"/>
  <c r="H79" i="9"/>
  <c r="W16" i="5"/>
  <c r="X16" i="5"/>
  <c r="E31" i="5"/>
  <c r="E29" i="5"/>
  <c r="E30" i="5"/>
  <c r="E37" i="5"/>
  <c r="C25" i="6"/>
  <c r="H78" i="9"/>
  <c r="W15" i="5"/>
  <c r="X15" i="5"/>
  <c r="R25" i="5"/>
  <c r="E33" i="5" s="1"/>
  <c r="Q25" i="5"/>
  <c r="E32" i="5" s="1"/>
  <c r="E40" i="5"/>
  <c r="C15" i="11" s="1"/>
  <c r="D19" i="6"/>
  <c r="E19" i="6" s="1"/>
  <c r="E14" i="6"/>
  <c r="D21" i="6"/>
  <c r="E17" i="6"/>
  <c r="C24" i="6"/>
  <c r="G11" i="6"/>
  <c r="G93" i="5"/>
  <c r="E86" i="9" l="1"/>
  <c r="F86" i="9"/>
  <c r="I86" i="9"/>
  <c r="J86" i="9" s="1"/>
  <c r="K86" i="9"/>
  <c r="E85" i="9"/>
  <c r="F85" i="9"/>
  <c r="I85" i="9"/>
  <c r="E84" i="9"/>
  <c r="F84" i="9"/>
  <c r="I84" i="9"/>
  <c r="J84" i="9" s="1"/>
  <c r="K84" i="9"/>
  <c r="E83" i="9"/>
  <c r="F83" i="9"/>
  <c r="I83" i="9"/>
  <c r="J83" i="9" s="1"/>
  <c r="K83" i="9"/>
  <c r="E82" i="9"/>
  <c r="F82" i="9"/>
  <c r="I82" i="9"/>
  <c r="J82" i="9" s="1"/>
  <c r="K82" i="9"/>
  <c r="E81" i="9"/>
  <c r="G81" i="9" s="1"/>
  <c r="F81" i="9"/>
  <c r="I81" i="9"/>
  <c r="J81" i="9" s="1"/>
  <c r="K81" i="9"/>
  <c r="E80" i="9"/>
  <c r="F80" i="9"/>
  <c r="I80" i="9"/>
  <c r="J80" i="9" s="1"/>
  <c r="K80" i="9"/>
  <c r="E79" i="9"/>
  <c r="F79" i="9"/>
  <c r="I79" i="9"/>
  <c r="J79" i="9" s="1"/>
  <c r="K79" i="9"/>
  <c r="D6" i="8"/>
  <c r="E14" i="8" s="1"/>
  <c r="C7" i="11"/>
  <c r="D7" i="11" s="1"/>
  <c r="H88" i="9"/>
  <c r="W25" i="5"/>
  <c r="E34" i="5" s="1"/>
  <c r="E41" i="5"/>
  <c r="C16" i="11" s="1"/>
  <c r="C19" i="11"/>
  <c r="C28" i="11" s="1"/>
  <c r="C25" i="7"/>
  <c r="D25" i="7" s="1"/>
  <c r="E25" i="7" s="1"/>
  <c r="E21" i="6"/>
  <c r="C23" i="7"/>
  <c r="D23" i="7" s="1"/>
  <c r="E23" i="7" s="1"/>
  <c r="C24" i="7"/>
  <c r="D24" i="7" s="1"/>
  <c r="E24" i="7" s="1"/>
  <c r="D20" i="6"/>
  <c r="E20" i="6" s="1"/>
  <c r="G17" i="6"/>
  <c r="G13" i="6"/>
  <c r="G16" i="6"/>
  <c r="G18" i="6"/>
  <c r="G15" i="6"/>
  <c r="G12" i="6"/>
  <c r="G14" i="6"/>
  <c r="C26" i="6"/>
  <c r="X25" i="5"/>
  <c r="E38" i="5"/>
  <c r="D78" i="9"/>
  <c r="D87" i="9"/>
  <c r="H87" i="9"/>
  <c r="C8" i="10" l="1"/>
  <c r="C8" i="11"/>
  <c r="D8" i="11" s="1"/>
  <c r="E36" i="9"/>
  <c r="C33" i="11"/>
  <c r="E33" i="11" s="1"/>
  <c r="F33" i="11" s="1"/>
  <c r="G33" i="11" s="1"/>
  <c r="C34" i="11"/>
  <c r="E34" i="11" s="1"/>
  <c r="F34" i="11" s="1"/>
  <c r="G34" i="11" s="1"/>
  <c r="C35" i="11"/>
  <c r="C36" i="11"/>
  <c r="D36" i="11"/>
  <c r="F25" i="7"/>
  <c r="F30" i="7" s="1"/>
  <c r="D34" i="11"/>
  <c r="F23" i="7"/>
  <c r="F28" i="7" s="1"/>
  <c r="C71" i="11"/>
  <c r="D35" i="11"/>
  <c r="F24" i="7"/>
  <c r="F29" i="7" s="1"/>
  <c r="E39" i="5"/>
  <c r="C9" i="11"/>
  <c r="D88" i="9"/>
  <c r="F78" i="9"/>
  <c r="E78" i="9"/>
  <c r="F87" i="9"/>
  <c r="I87" i="9" s="1"/>
  <c r="J87" i="9" s="1"/>
  <c r="E87" i="9"/>
  <c r="G87" i="9" s="1"/>
  <c r="K87" i="9"/>
  <c r="G86" i="9"/>
  <c r="G85" i="9"/>
  <c r="G82" i="9"/>
  <c r="G84" i="9"/>
  <c r="G83" i="9"/>
  <c r="G79" i="9"/>
  <c r="G80" i="9"/>
  <c r="J85" i="9"/>
  <c r="K85" i="9"/>
  <c r="C20" i="11"/>
  <c r="C17" i="11"/>
  <c r="F24" i="10" l="1"/>
  <c r="C26" i="10"/>
  <c r="F26" i="10"/>
  <c r="C27" i="10"/>
  <c r="F27" i="10"/>
  <c r="C23" i="1"/>
  <c r="D43" i="1" s="1"/>
  <c r="C22" i="1"/>
  <c r="C72" i="11"/>
  <c r="C73" i="11" s="1"/>
  <c r="C74" i="11" s="1"/>
  <c r="C75" i="11" s="1"/>
  <c r="C70" i="11"/>
  <c r="E35" i="11"/>
  <c r="C60" i="11"/>
  <c r="D58" i="11"/>
  <c r="G58" i="11" s="1"/>
  <c r="H58" i="11" s="1"/>
  <c r="D57" i="11"/>
  <c r="G57" i="11" s="1"/>
  <c r="H57" i="11" s="1"/>
  <c r="D56" i="11"/>
  <c r="G56" i="11" s="1"/>
  <c r="H56" i="11" s="1"/>
  <c r="D55" i="11"/>
  <c r="G55" i="11" s="1"/>
  <c r="H55" i="11" s="1"/>
  <c r="D54" i="11"/>
  <c r="G54" i="11" s="1"/>
  <c r="H54" i="11" s="1"/>
  <c r="C10" i="11"/>
  <c r="D9" i="11"/>
  <c r="I78" i="9"/>
  <c r="F88" i="9"/>
  <c r="E88" i="9"/>
  <c r="G78" i="9"/>
  <c r="G88" i="9" s="1"/>
  <c r="E36" i="11"/>
  <c r="F36" i="11" s="1"/>
  <c r="G36" i="11" s="1"/>
  <c r="C43" i="1" l="1"/>
  <c r="C25" i="1"/>
  <c r="D42" i="1"/>
  <c r="C76" i="11"/>
  <c r="C84" i="11"/>
  <c r="F35" i="11"/>
  <c r="G35" i="11" s="1"/>
  <c r="C38" i="11" s="1"/>
  <c r="C28" i="1" s="1"/>
  <c r="C82" i="11"/>
  <c r="I88" i="9"/>
  <c r="J88" i="9" s="1"/>
  <c r="J78" i="9"/>
  <c r="K78" i="9"/>
  <c r="C59" i="11"/>
  <c r="C61" i="11" s="1"/>
  <c r="C83" i="11" s="1"/>
  <c r="D45" i="1" l="1"/>
  <c r="C44" i="1"/>
  <c r="C29" i="1"/>
  <c r="C27" i="1"/>
</calcChain>
</file>

<file path=xl/sharedStrings.xml><?xml version="1.0" encoding="utf-8"?>
<sst xmlns="http://schemas.openxmlformats.org/spreadsheetml/2006/main" count="1826" uniqueCount="1330">
  <si>
    <t>AI to EV bridge</t>
  </si>
  <si>
    <t>One bridge, from the enterprise value you have today to the enterprise value the AI program can carry. Everything is pulled from the tabs behind it — only the two yellow cells are entered here.</t>
  </si>
  <si>
    <t>INPUTS</t>
  </si>
  <si>
    <t>ENTER: Basis at entry</t>
  </si>
  <si>
    <t>ARR</t>
  </si>
  <si>
    <t>How the deal was struck, not a judgement about today. The basis is fixed for the whole model so before and after stay comparable. Anaplan entered at 18.1x revenue in 2022 while loss-making.</t>
  </si>
  <si>
    <t>ENTER: Enterprise value today</t>
  </si>
  <si>
    <t>Your own valuation, or the entry basis.</t>
  </si>
  <si>
    <t>ENTER: ARR</t>
  </si>
  <si>
    <t>Recurring revenue.</t>
  </si>
  <si>
    <t>Total revenue</t>
  </si>
  <si>
    <t>ARR plus professional services. Set on 4b.</t>
  </si>
  <si>
    <t>ENTER: EBITDA margin on total revenue</t>
  </si>
  <si>
    <t>Carried for reference and for the Rule of 40 on 4d. Not used in the multiple while the basis is ARR. Verify before quoting.</t>
  </si>
  <si>
    <t>Valuation metric</t>
  </si>
  <si>
    <t>EBITDA if the basis is EBITDA, ARR if it is ARR.</t>
  </si>
  <si>
    <t>Current multiple</t>
  </si>
  <si>
    <t>Enterprise value divided by the metric. The anchor every scenario works from.</t>
  </si>
  <si>
    <t>Industry vertical</t>
  </si>
  <si>
    <t>Set on 4b.</t>
  </si>
  <si>
    <t>POSITION</t>
  </si>
  <si>
    <t>THE BRIDGE</t>
  </si>
  <si>
    <t>Closing two capability levels. Capturing the pool does two things: its revenue half lifts ARR, and the whole of it lifts growth, which lifts the multiple. Shown separately so the two effects are visible.</t>
  </si>
  <si>
    <t>Enterprise value today</t>
  </si>
  <si>
    <t>ARR $1.2B at 9.17x.</t>
  </si>
  <si>
    <t xml:space="preserve">  plus ARR uplift</t>
  </si>
  <si>
    <t>The revenue half of the pool, valued at today’s multiple.</t>
  </si>
  <si>
    <t xml:space="preserve">  plus multiple uplift</t>
  </si>
  <si>
    <t>The multiple moving from 9.17x to 9.38x, on the new ARR base.</t>
  </si>
  <si>
    <t>New EV</t>
  </si>
  <si>
    <t xml:space="preserve">  less cost of the programme</t>
  </si>
  <si>
    <t>NPV of build plus operating cost, Barr Eq. 26.</t>
  </si>
  <si>
    <t>NEW ENTERPRISE VALUE</t>
  </si>
  <si>
    <t>ARR $1.22B at 9.38x, less cost.</t>
  </si>
  <si>
    <t>Uplift on today</t>
  </si>
  <si>
    <t>Value density</t>
  </si>
  <si>
    <t>Check: ties to 8_Enterprise_Value</t>
  </si>
  <si>
    <t>Chart data — calculated, do not edit</t>
  </si>
  <si>
    <t>Base</t>
  </si>
  <si>
    <t>Value</t>
  </si>
  <si>
    <t>EV today</t>
  </si>
  <si>
    <t>ARR uplift</t>
  </si>
  <si>
    <t>Multiple uplift</t>
  </si>
  <si>
    <t>Cost</t>
  </si>
  <si>
    <t>The vertical axis starts at $10.4B. The two middle bars are about 2% of an $11B base — on a full axis they would not be visible. The base is the story here, not the bridge.</t>
  </si>
  <si>
    <t>Frontier rubric AI-enabled applications</t>
  </si>
  <si>
    <t>The benchmark is the cohort commanding the highest multiples in software, not other SaaS companies. Six dimensions define it. The ceiling on each is what a named company has actually achieved, not a theoretical maximum.</t>
  </si>
  <si>
    <t>Company</t>
  </si>
  <si>
    <t>Valuation</t>
  </si>
  <si>
    <t>Multiple</t>
  </si>
  <si>
    <t>Pricing model</t>
  </si>
  <si>
    <t>What it displaces</t>
  </si>
  <si>
    <t>Sierra</t>
  </si>
  <si>
    <t>$10B</t>
  </si>
  <si>
    <t>~$100M</t>
  </si>
  <si>
    <t>67-100x</t>
  </si>
  <si>
    <t>Outcome, per resolution</t>
  </si>
  <si>
    <t>Support agent salary</t>
  </si>
  <si>
    <t>Harvey</t>
  </si>
  <si>
    <t>$11B</t>
  </si>
  <si>
    <t>~$190M</t>
  </si>
  <si>
    <t>55-58x</t>
  </si>
  <si>
    <t>Seat and licence</t>
  </si>
  <si>
    <t>Junior associate at $200/hr</t>
  </si>
  <si>
    <t>Cursor (Anysphere)</t>
  </si>
  <si>
    <t>$29-50B</t>
  </si>
  <si>
    <t>$0.5-2B</t>
  </si>
  <si>
    <t>25-59x</t>
  </si>
  <si>
    <t>Seat</t>
  </si>
  <si>
    <t>Developer time</t>
  </si>
  <si>
    <t>Glean</t>
  </si>
  <si>
    <t>$7.2B</t>
  </si>
  <si>
    <t>$300M</t>
  </si>
  <si>
    <t>24x</t>
  </si>
  <si>
    <t>Knowledge worker search time</t>
  </si>
  <si>
    <t>Decagon</t>
  </si>
  <si>
    <t>$4.5B</t>
  </si>
  <si>
    <t>~$35M</t>
  </si>
  <si>
    <t>high, 200%+ NRR</t>
  </si>
  <si>
    <t>Outcome</t>
  </si>
  <si>
    <t>Growth rate does not explain the spread — the fastest grower priced near the bottom. The premium tracks category position. Harvey trades at 55-58x on seat pricing, which is why outcome pricing is one route to the frontier and not the test itself.</t>
  </si>
  <si>
    <t>The six dimensions</t>
  </si>
  <si>
    <t>Code</t>
  </si>
  <si>
    <t>Dimension</t>
  </si>
  <si>
    <t>What it asks</t>
  </si>
  <si>
    <t>Frontier</t>
  </si>
  <si>
    <t>Held by</t>
  </si>
  <si>
    <t>Why not 10</t>
  </si>
  <si>
    <t>BD</t>
  </si>
  <si>
    <t>Budget Displaced</t>
  </si>
  <si>
    <t>Does your revenue come out of a labour line or a software line.</t>
  </si>
  <si>
    <t>Harvey, Sierra, Cursor</t>
  </si>
  <si>
    <t>Full marks. Harvey's stated competitor is a junior associate at $200 an hour; Sierra's is a support agent; Cursor's is developer time. None of them competes for a software budget. This is what displacing a labour budget looks like — there is nothing further to reach.</t>
  </si>
  <si>
    <t>OA</t>
  </si>
  <si>
    <t>Outcome Attribution</t>
  </si>
  <si>
    <t>Can the value delivered be measured, isolated and agreed with the customer in advance.</t>
  </si>
  <si>
    <t>Sierra, Fin</t>
  </si>
  <si>
    <t>Sierra bills on a resolved conversation and does not charge when unresolved; Fin publishes $0.99 per resolution. Held just below full marks because the outcome definition is still negotiated per contract and edge cases are contested deal by deal.</t>
  </si>
  <si>
    <t>AUT</t>
  </si>
  <si>
    <t>Autonomy</t>
  </si>
  <si>
    <t>How much of the work completes without a person, and what the person is for.</t>
  </si>
  <si>
    <t>Sierra, Harvey</t>
  </si>
  <si>
    <t>Sierra agents process returns and manage cancellations through API connections to systems of record; Harvey customers run more than 25,000 custom agents. Held marginally below full marks because escalation to humans remains routine and is priced for.</t>
  </si>
  <si>
    <t>DC</t>
  </si>
  <si>
    <t>Data Compounding</t>
  </si>
  <si>
    <t>Does the product improve from usage in a way a competitor with the same models cannot replicate.</t>
  </si>
  <si>
    <t>Harvey, Glean</t>
  </si>
  <si>
    <t>Vertical-specific agents with proprietary training data command the highest valuations in the cohort. Harvey holds legal workflow depth across most of the AmLaw 100. Held below full marks because the underlying models are third-party and commoditising, which is the standing bear case.</t>
  </si>
  <si>
    <t>VEL</t>
  </si>
  <si>
    <t>Velocity to Scale</t>
  </si>
  <si>
    <t>How fast the business reaches scale, which is what the market is actually pricing.</t>
  </si>
  <si>
    <t>Cursor, Legora</t>
  </si>
  <si>
    <t>Full marks. Cursor reached $100M ARR in roughly 12 months, Legora in 18, against 36 for Slack. This is the fastest scaling enterprise software has produced.</t>
  </si>
  <si>
    <t>DE</t>
  </si>
  <si>
    <t>Delivery Elasticity</t>
  </si>
  <si>
    <t>Does serving more customers or more volume require proportionally more people.</t>
  </si>
  <si>
    <t>Fin, Glean</t>
  </si>
  <si>
    <t>Fin deploys in days with published pricing and no platform fee. Held furthest below full marks because inference is real cost of goods — 18-23% of revenue — and AI gross margins run 50-60% against 70-90% for mature software. Nobody in the cohort has achieved elastic delivery.</t>
  </si>
  <si>
    <t>FRONTIER POSITION</t>
  </si>
  <si>
    <t>Level anchors by capability</t>
  </si>
  <si>
    <t>Seventy-two sets of five. Ten value levers and two enablers across the six dimensions. Wording is written per lever — no two blocks repeat.</t>
  </si>
  <si>
    <t>Capability</t>
  </si>
  <si>
    <t>L1 Laggard</t>
  </si>
  <si>
    <t>L2 Follower</t>
  </si>
  <si>
    <t>L3 Practitioner</t>
  </si>
  <si>
    <t>L4 Leader</t>
  </si>
  <si>
    <t>L5 Frontier</t>
  </si>
  <si>
    <t>Product and services differentiation</t>
  </si>
  <si>
    <t>Priced against competing software. The buyer's alternative is another licence.</t>
  </si>
  <si>
    <t>Priced against software, with a productivity claim attached to justify the premium.</t>
  </si>
  <si>
    <t>Priced against software but the business case cites a headcount number.</t>
  </si>
  <si>
    <t>Priced against a named labour line, with the customer's cost per unit of that work known.</t>
  </si>
  <si>
    <t>The buyer's alternative is hiring. You are compared to a salary, not to a licence.</t>
  </si>
  <si>
    <t>What the product delivers is asserted in marketing and argued at renewal.</t>
  </si>
  <si>
    <t>You report adoption and usage to customers, not the value produced.</t>
  </si>
  <si>
    <t>You report outcomes, but cannot separate your contribution from everything else the customer did.</t>
  </si>
  <si>
    <t>Baselines are agreed with the customer before deployment and the delta withstands challenge.</t>
  </si>
  <si>
    <t>The outcome is machine-verifiable and published, not negotiated per contract.</t>
  </si>
  <si>
    <t>The product records work a person at the customer does.</t>
  </si>
  <si>
    <t>The product suggests; a customer employee decides and executes every time.</t>
  </si>
  <si>
    <t>The product executes defined tasks; a customer employee approves before anything commits.</t>
  </si>
  <si>
    <t>The product completes whole customer workflows end to end, acting in systems of record.</t>
  </si>
  <si>
    <t>The product runs long-horizon, multi-step processes and escalates only by exception.</t>
  </si>
  <si>
    <t>Customer data sits in per-tenant silos. Nothing improves from usage.</t>
  </si>
  <si>
    <t>Usage is logged but never fed back into the product.</t>
  </si>
  <si>
    <t>Aggregate usage informs the roadmap, not the product's behaviour.</t>
  </si>
  <si>
    <t>Usage improves product behaviour across the base, with contractual rights in place to permit it.</t>
  </si>
  <si>
    <t>The corpus is the moat. A competitor with the same models cannot match the output.</t>
  </si>
  <si>
    <t>Flat, or too small to measure.</t>
  </si>
  <si>
    <t>Growing, but slower than the rest of the business.</t>
  </si>
  <si>
    <t>Growing faster than the rest of the business.</t>
  </si>
  <si>
    <t>Doubling annually off a base large enough to matter.</t>
  </si>
  <si>
    <t>The fastest-growing line in the company, and disclosed as such.</t>
  </si>
  <si>
    <t>Every new customer needs a services engagement before the product produces anything.</t>
  </si>
  <si>
    <t>Onboarding is templated but still requires your people.</t>
  </si>
  <si>
    <t>Standard customers self-configure; your people handle the complex ones.</t>
  </si>
  <si>
    <t>Most customers reach value in days without your involvement.</t>
  </si>
  <si>
    <t>The marginal cost of the next customer is compute. No implementation function exists.</t>
  </si>
  <si>
    <t>Pricing and packaging</t>
  </si>
  <si>
    <t>Priced per seat. Tiers are defined by feature count.</t>
  </si>
  <si>
    <t>Per seat, with usage add-ons bolted on to capture heavy users.</t>
  </si>
  <si>
    <t>A hybrid: platform fee plus a usage or volume component the customer can forecast.</t>
  </si>
  <si>
    <t>Priced on a value metric the customer already measures in their own P&amp;L.</t>
  </si>
  <si>
    <t>Priced per outcome delivered. Seats are irrelevant to the contract.</t>
  </si>
  <si>
    <t>No outcome measurement. Discounting is unmanaged and realised price is discovered after the fact.</t>
  </si>
  <si>
    <t>Outcomes are claimed in marketing; realised price is tracked quarterly.</t>
  </si>
  <si>
    <t>Outcomes are reported to customers and discount approval follows a policy.</t>
  </si>
  <si>
    <t>Baselines are agreed before deployment and realised price holds within a narrow band of list.</t>
  </si>
  <si>
    <t>Outcome measurement is contractual and audited, and price realisation is designed into the metric rather than defended.</t>
  </si>
  <si>
    <t>Every price is set by a person in a spreadsheet.</t>
  </si>
  <si>
    <t>Rate cards exist; exceptions are negotiated individually.</t>
  </si>
  <si>
    <t>Pricing rules are encoded and most quotes follow them.</t>
  </si>
  <si>
    <t>Price is set by the system from the value metric; humans handle exceptions.</t>
  </si>
  <si>
    <t>Pricing adjusts continuously to measured value and usage without a person in the loop.</t>
  </si>
  <si>
    <t>No record of what customers paid or why.</t>
  </si>
  <si>
    <t>Pricing history is stored but never analysed.</t>
  </si>
  <si>
    <t>Win-loss by price point is reviewed periodically.</t>
  </si>
  <si>
    <t>Realised price and churn data automatically re-tune the rate card.</t>
  </si>
  <si>
    <t>The pricing corpus is an advantage no competitor can see or replicate.</t>
  </si>
  <si>
    <t>Pricing changes take a year and a reorganisation.</t>
  </si>
  <si>
    <t>Changes ship annually, applied to new business only.</t>
  </si>
  <si>
    <t>Changes reach new business within a quarter.</t>
  </si>
  <si>
    <t>A new pricing model reaches the whole base within a renewal cycle.</t>
  </si>
  <si>
    <t>Pricing experiments run continuously across segments at no delivery cost.</t>
  </si>
  <si>
    <t>Every non-standard deal needs finance to build a model.</t>
  </si>
  <si>
    <t>Templates exist but complex deals still consume finance time.</t>
  </si>
  <si>
    <t>Standard structures self-serve; finance handles the complex minority.</t>
  </si>
  <si>
    <t>Deal volume can double without adding pricing or finance headcount.</t>
  </si>
  <si>
    <t>The marginal cost of quoting the next deal is compute.</t>
  </si>
  <si>
    <t>Sales effectiveness</t>
  </si>
  <si>
    <t>AI tooling is added to the sales stack. Selling capacity is unchanged.</t>
  </si>
  <si>
    <t>Reps report time saved, but the sales payroll has not moved.</t>
  </si>
  <si>
    <t>Freed selling time is reinvested in more activity rather than fewer sellers.</t>
  </si>
  <si>
    <t>Quota coverage has been achieved with fewer sellers than the plan called for.</t>
  </si>
  <si>
    <t>Selling capacity is set by compute, not by the number of sellers.</t>
  </si>
  <si>
    <t>Pipeline is attributed to reps by convention. No system contribution is measured.</t>
  </si>
  <si>
    <t>System usage is measured; its effect on pipeline is not.</t>
  </si>
  <si>
    <t>System-sourced pipeline is tracked but confounded with rep effort.</t>
  </si>
  <si>
    <t>System-sourced and rep-sourced pipeline are separated and the split withstands scrutiny.</t>
  </si>
  <si>
    <t>Contribution per system action is measured and reported continuously.</t>
  </si>
  <si>
    <t>Reps research, write and follow up manually.</t>
  </si>
  <si>
    <t>AI drafts outreach and summarises calls; the rep does everything else.</t>
  </si>
  <si>
    <t>The system prioritises and sequences; a rep approves before anything sends.</t>
  </si>
  <si>
    <t>Agents run qualification and multi-threaded follow-up without a rep in the loop.</t>
  </si>
  <si>
    <t>The motion runs unattended to a qualified opportunity and escalates by exception.</t>
  </si>
  <si>
    <t>Billing and usage data is not analysed.</t>
  </si>
  <si>
    <t>Data is reported but never changes pricing.</t>
  </si>
  <si>
    <t>Pricing is reviewed periodically using historical data.</t>
  </si>
  <si>
    <t>Billing and usage data automatically improves pricing and packaging decisions.</t>
  </si>
  <si>
    <t>The pricing and usage record is an asset a competitor could not assemble.</t>
  </si>
  <si>
    <t>Quote-to-cash cycle time is unchanged or lengthening.</t>
  </si>
  <si>
    <t>Cycle time falling by a few percent a year.</t>
  </si>
  <si>
    <t>Cycle time falling by double digits a year.</t>
  </si>
  <si>
    <t>Cycle time has halved on a multi-year view.</t>
  </si>
  <si>
    <t>Billing and collection run in near real time.</t>
  </si>
  <si>
    <t>Quote-to-cash headcount rises one for one with transaction volume.</t>
  </si>
  <si>
    <t>Some leverage, but headcount still tracks volume closely.</t>
  </si>
  <si>
    <t>Headcount grows at roughly half the rate of volume.</t>
  </si>
  <si>
    <t>Volume can double with little or no added headcount.</t>
  </si>
  <si>
    <t>The marginal cost of an additional transaction is compute, not people.</t>
  </si>
  <si>
    <t>Customer retention and expansion</t>
  </si>
  <si>
    <t>Service is a cost you absorb. It appears in no customer business case.</t>
  </si>
  <si>
    <t>Service quality is a selling point, but nothing in the customer's budget moves because of it.</t>
  </si>
  <si>
    <t>The customer's business case counts service hours saved on their side.</t>
  </si>
  <si>
    <t>The customer has retired support headcount because of what you deliver.</t>
  </si>
  <si>
    <t>You are paid for resolutions the customer would otherwise have staffed.</t>
  </si>
  <si>
    <t>Neither you nor the customer can say what was resolved and what was deflected.</t>
  </si>
  <si>
    <t>You report ticket volume and deflection rate as though they were outcomes.</t>
  </si>
  <si>
    <t>Resolution is tracked, but not separated from customers giving up or self-solving.</t>
  </si>
  <si>
    <t>Resolution quality is measured against an agreed definition and reported to the customer.</t>
  </si>
  <si>
    <t>Resolution is binary and machine-verified, and billing depends on it.</t>
  </si>
  <si>
    <t>Every interaction is queued to a person.</t>
  </si>
  <si>
    <t>Agents draft replies; a person sends every one.</t>
  </si>
  <si>
    <t>Common intents resolve automatically with a defined escalation path.</t>
  </si>
  <si>
    <t>Most interactions close without a person touching them.</t>
  </si>
  <si>
    <t>The service runs unattended across channels and escalates only by exception.</t>
  </si>
  <si>
    <t>Resolved cases are closed and forgotten.</t>
  </si>
  <si>
    <t>Case history is stored but never used to improve handling.</t>
  </si>
  <si>
    <t>Case analysis informs periodic training and content updates.</t>
  </si>
  <si>
    <t>Every resolved case automatically improves how the next one is handled, across all customers.</t>
  </si>
  <si>
    <t>The resolution corpus is an asset a competitor could not assemble.</t>
  </si>
  <si>
    <t>Self-service share is flat or falling.</t>
  </si>
  <si>
    <t>Self-service share improving by a few points a year.</t>
  </si>
  <si>
    <t>Self-service share improving by double digits a year.</t>
  </si>
  <si>
    <t>Self-service share doubling on a multi-year view.</t>
  </si>
  <si>
    <t>Step change — the majority of volume moved to self-service inside two years.</t>
  </si>
  <si>
    <t>Support headcount rises one for one with ticket volume.</t>
  </si>
  <si>
    <t>Some leverage from tooling, but headcount still tracks volume closely.</t>
  </si>
  <si>
    <t>Support headcount grows at roughly half the rate of volume.</t>
  </si>
  <si>
    <t>Volume can double with little or no added support headcount.</t>
  </si>
  <si>
    <t>The marginal cost of additional volume is compute, not people.</t>
  </si>
  <si>
    <t>Ecosystem strategy</t>
  </si>
  <si>
    <t>Partners resell a licence. Nothing in the end customer’s budget moves.</t>
  </si>
  <si>
    <t>Partner pitches cite productivity but the business case is software against software.</t>
  </si>
  <si>
    <t>Partner business cases cite headcount the end customer will not need.</t>
  </si>
  <si>
    <t>Partners price against a named labour line in the end customer’s operation.</t>
  </si>
  <si>
    <t>Partners sell against the cost of hiring. The comparison is a salary, not a licence.</t>
  </si>
  <si>
    <t>Partner-influenced revenue is asserted, not measured.</t>
  </si>
  <si>
    <t>Partner-sourced deals are tagged in the CRM but the tag is unreliable.</t>
  </si>
  <si>
    <t>Partner contribution is tracked but confounded with direct effort.</t>
  </si>
  <si>
    <t>Partner-sourced and direct pipeline are cleanly separated and the split withstands audit.</t>
  </si>
  <si>
    <t>Value delivered through each partner is measured continuously and settles commercially.</t>
  </si>
  <si>
    <t>Every integration is built and maintained by your engineers.</t>
  </si>
  <si>
    <t>Partners submit requirements; your team builds.</t>
  </si>
  <si>
    <t>A documented API lets partners build without your engineers, with review before release.</t>
  </si>
  <si>
    <t>Partners build, test and ship on your surface without your involvement.</t>
  </si>
  <si>
    <t>The ecosystem extends itself. You set policy, not roadmap.</t>
  </si>
  <si>
    <t>No visibility into what partners do with the product.</t>
  </si>
  <si>
    <t>Partner usage is logged but never analysed.</t>
  </si>
  <si>
    <t>Partner usage informs which integrations get invested in.</t>
  </si>
  <si>
    <t>Cross-partner data measurably improves the product for every partner.</t>
  </si>
  <si>
    <t>The ecosystem data is a moat. A competitor starting today could not assemble it.</t>
  </si>
  <si>
    <t>Partner revenue is flat or immaterial.</t>
  </si>
  <si>
    <t>Growing, but slower than direct.</t>
  </si>
  <si>
    <t>Growing faster than direct.</t>
  </si>
  <si>
    <t>Partner-sourced revenue doubling annually off a base that matters.</t>
  </si>
  <si>
    <t>The ecosystem is the fastest-growing channel and is disclosed as such.</t>
  </si>
  <si>
    <t>Each new partner needs a bespoke engagement.</t>
  </si>
  <si>
    <t>Onboarding is templated but still consumes your people.</t>
  </si>
  <si>
    <t>Most partners self-onboard; your team handles the complex ones.</t>
  </si>
  <si>
    <t>Partner count can double with no added partner-management headcount.</t>
  </si>
  <si>
    <t>The marginal cost of the next partner is compute.</t>
  </si>
  <si>
    <t>Product engineering</t>
  </si>
  <si>
    <t>AI tooling is available. Engineering payroll is unchanged and unexamined.</t>
  </si>
  <si>
    <t>Developers report time saved, but engineering payroll has not moved.</t>
  </si>
  <si>
    <t>Freed engineering time is reinvested in more work rather than fewer engineers.</t>
  </si>
  <si>
    <t>Roadmap scope has been delivered with fewer engineers than the plan called for.</t>
  </si>
  <si>
    <t>Delivery capacity is set by compute, not by headcount.</t>
  </si>
  <si>
    <t>No measurement of what AI assistance contributes to delivery.</t>
  </si>
  <si>
    <t>Tool adoption is measured; its effect on throughput is not.</t>
  </si>
  <si>
    <t>Throughput is tracked but confounded with team changes and scope.</t>
  </si>
  <si>
    <t>AI-assisted and unassisted throughput are separated and the split withstands scrutiny.</t>
  </si>
  <si>
    <t>Contribution per assisted commit is measured continuously and reported.</t>
  </si>
  <si>
    <t>Engineers write, test and review every line by hand.</t>
  </si>
  <si>
    <t>AI suggests code; an engineer accepts or rejects every suggestion.</t>
  </si>
  <si>
    <t>AI completes defined tasks; an engineer reviews before merge.</t>
  </si>
  <si>
    <t>Agents deliver whole tickets end to end; engineers review exceptions.</t>
  </si>
  <si>
    <t>Agents run multi-step delivery within policy and escalate only by exception.</t>
  </si>
  <si>
    <t>Nothing is learned from the codebase or from past delivery.</t>
  </si>
  <si>
    <t>History exists in the repo but never informs tooling.</t>
  </si>
  <si>
    <t>Retrospective analysis informs practice periodically.</t>
  </si>
  <si>
    <t>The codebase and delivery record automatically improve assistance quality.</t>
  </si>
  <si>
    <t>The accumulated engineering corpus is an advantage a competitor cannot replicate.</t>
  </si>
  <si>
    <t>Release cadence is flat or lengthening.</t>
  </si>
  <si>
    <t>Cadence improving slowly.</t>
  </si>
  <si>
    <t>Cadence improving by double digits year on year.</t>
  </si>
  <si>
    <t>Throughput doubling on a multi-year view off a base that matters.</t>
  </si>
  <si>
    <t>Continuous delivery at a rate the peer group cannot match.</t>
  </si>
  <si>
    <t>Every increment of scope needs a proportional increment of engineers.</t>
  </si>
  <si>
    <t>Some leverage from platform work, but headcount tracks scope closely.</t>
  </si>
  <si>
    <t>Scope grows at roughly twice the rate of headcount.</t>
  </si>
  <si>
    <t>Scope can double with little added engineering headcount.</t>
  </si>
  <si>
    <t>The marginal cost of the next feature is compute, not people.</t>
  </si>
  <si>
    <t>Revenue operations</t>
  </si>
  <si>
    <t>Quote-to-cash is manual and its cost is not examined.</t>
  </si>
  <si>
    <t>Time savings are reported but the revops payroll is unchanged.</t>
  </si>
  <si>
    <t>Freed time is reinvested in more deal support rather than fewer people.</t>
  </si>
  <si>
    <t>Deal volume has grown while revops headcount has not.</t>
  </si>
  <si>
    <t>Quote-to-cash capacity is set by compute. Headcount is a policy choice.</t>
  </si>
  <si>
    <t>Forecast accuracy and discount leakage are not measured.</t>
  </si>
  <si>
    <t>Both are reported after the quarter and explained, not managed.</t>
  </si>
  <si>
    <t>Both are tracked against a target and reviewed monthly.</t>
  </si>
  <si>
    <t>Forecast variance and leakage are managed to an agreed baseline that withstands board scrutiny.</t>
  </si>
  <si>
    <t>Forecast and realised price are machine-verified against contract terms continuously.</t>
  </si>
  <si>
    <t>Quotes, contracts and invoices are assembled by hand.</t>
  </si>
  <si>
    <t>Templates exist; approvals and billing remain manual.</t>
  </si>
  <si>
    <t>CPQ is configured and most standard deals flow through it.</t>
  </si>
  <si>
    <t>Standard deals quote, contract and bill with no human touch; exceptions are routed.</t>
  </si>
  <si>
    <t>The whole chain runs unattended within policy, including usage and outcome terms.</t>
  </si>
  <si>
    <t>Deal history is not captured in a usable form.</t>
  </si>
  <si>
    <t>History is stored but never changes how deals are structured.</t>
  </si>
  <si>
    <t>Deal structure analysis informs policy at QBR.</t>
  </si>
  <si>
    <t>Closed deal data automatically re-tunes approval thresholds and terms.</t>
  </si>
  <si>
    <t>The accumulated commercial record is an advantage a competitor cannot buy.</t>
  </si>
  <si>
    <t>Process changes take a year to reach the field.</t>
  </si>
  <si>
    <t>Changes ship annually.</t>
  </si>
  <si>
    <t>Changes reach the field within a quarter.</t>
  </si>
  <si>
    <t>A new process reaches the whole organisation within one cycle.</t>
  </si>
  <si>
    <t>Process adapts continuously with no rollout cost.</t>
  </si>
  <si>
    <t>Deal volume growth requires proportional revops headcount.</t>
  </si>
  <si>
    <t>Some leverage from tooling; headcount still tracks volume.</t>
  </si>
  <si>
    <t>Volume grows at roughly twice the rate of headcount.</t>
  </si>
  <si>
    <t>Volume can double with no added revops headcount.</t>
  </si>
  <si>
    <t>The marginal cost of the next transaction is compute.</t>
  </si>
  <si>
    <t>Supplier and infrastructure cost</t>
  </si>
  <si>
    <t>Third-party AI spend is added on top of existing payroll.</t>
  </si>
  <si>
    <t>Spend is justified by a productivity claim with no offsetting saving.</t>
  </si>
  <si>
    <t>Spend displaces some contractor cost but no permanent headcount.</t>
  </si>
  <si>
    <t>Third-party spend has replaced internal labour, and the saving is visible.</t>
  </si>
  <si>
    <t>Buying compute is explicitly a substitute for hiring, and priced that way.</t>
  </si>
  <si>
    <t>No. Vendor invoices are not attributed to anything.</t>
  </si>
  <si>
    <t>Spend is attributed by vendor, not by customer or feature.</t>
  </si>
  <si>
    <t>Spend is allocated to teams, but not to individual customers.</t>
  </si>
  <si>
    <t>Cost to serve is known per customer and per feature, including inference.</t>
  </si>
  <si>
    <t>Cost to serve per customer is reported continuously and drives pricing decisions.</t>
  </si>
  <si>
    <t>Usage is discovered at renewal. Nothing is metered.</t>
  </si>
  <si>
    <t>Usage is visible in dashboards; decisions are manual and periodic.</t>
  </si>
  <si>
    <t>Usage is metered per workload; commitments are reviewed on data.</t>
  </si>
  <si>
    <t>Commitments are right-sized automatically at workload level.</t>
  </si>
  <si>
    <t>Procurement and capacity decisions execute automatically within policy.</t>
  </si>
  <si>
    <t>Spend history is not retained in usable form.</t>
  </si>
  <si>
    <t>Spend data exists but is not analysed.</t>
  </si>
  <si>
    <t>Spend analysis informs annual negotiation.</t>
  </si>
  <si>
    <t>Spend and usage data automatically improves architecture and procurement decisions.</t>
  </si>
  <si>
    <t>The accumulated cost and usage record is a durable negotiating advantage.</t>
  </si>
  <si>
    <t>The same or more. Spend rises in step with usage.</t>
  </si>
  <si>
    <t>A few percent less.</t>
  </si>
  <si>
    <t>Double digits less.</t>
  </si>
  <si>
    <t>Roughly half what it cost a year ago.</t>
  </si>
  <si>
    <t>An order of magnitude less, and still falling without renegotiation.</t>
  </si>
  <si>
    <t>Down. Each additional customer costs proportionally more to serve.</t>
  </si>
  <si>
    <t>Flat. Scale brings no margin benefit.</t>
  </si>
  <si>
    <t>Up slightly, from negotiated volume discounts.</t>
  </si>
  <si>
    <t>Up materially, because cost to serve falls faster than price.</t>
  </si>
  <si>
    <t>Up structurally, because the marginal customer costs almost nothing to serve.</t>
  </si>
  <si>
    <t>Employee experience</t>
  </si>
  <si>
    <t>Internal AI is added spend. No cost has left the P&amp;L.</t>
  </si>
  <si>
    <t>Time savings are reported but the back-office payroll is unchanged.</t>
  </si>
  <si>
    <t>Freed capacity is redeployed to new work rather than removed.</t>
  </si>
  <si>
    <t>Back-office headcount has fallen and the saving is visible in the budget.</t>
  </si>
  <si>
    <t>The cost of running internal functions is set by compute, not payroll.</t>
  </si>
  <si>
    <t>Internal AI benefit is asserted, never measured.</t>
  </si>
  <si>
    <t>Licence counts and logins are measured; effect on work is not.</t>
  </si>
  <si>
    <t>Time saved is estimated from surveys rather than observed.</t>
  </si>
  <si>
    <t>A pre-deployment baseline exists and the productivity delta is defensible.</t>
  </si>
  <si>
    <t>Output per employee is tracked continuously and reported to the board.</t>
  </si>
  <si>
    <t>People do the work. Systems record it.</t>
  </si>
  <si>
    <t>Assistants draft; a person completes every task.</t>
  </si>
  <si>
    <t>Systems complete defined tasks; a person checks before anything commits.</t>
  </si>
  <si>
    <t>Agents run whole back-office processes end to end.</t>
  </si>
  <si>
    <t>Processes run unattended and escalate only by exception.</t>
  </si>
  <si>
    <t>Institutional knowledge lives in people and cannot be searched.</t>
  </si>
  <si>
    <t>Documents exist but are stale and unstructured.</t>
  </si>
  <si>
    <t>Knowledge is searchable but does not improve from use.</t>
  </si>
  <si>
    <t>The knowledge base improves automatically as people work in it.</t>
  </si>
  <si>
    <t>Institutional knowledge is a system, not a function of tenure.</t>
  </si>
  <si>
    <t>Revenue per employee is flat or falling.</t>
  </si>
  <si>
    <t>Improving a few percent a year.</t>
  </si>
  <si>
    <t>Improving by double digits a year.</t>
  </si>
  <si>
    <t>Doubling on a multi-year view.</t>
  </si>
  <si>
    <t>Step change — the company does materially more with the same headcount.</t>
  </si>
  <si>
    <t>Back-office headcount rises with company volume.</t>
  </si>
  <si>
    <t>Some leverage, but headcount still tracks volume.</t>
  </si>
  <si>
    <t>Company volume can double with little or no added back-office headcount.</t>
  </si>
  <si>
    <t>Back-office capacity is elastic. Volume does not drive headcount.</t>
  </si>
  <si>
    <t>Capital efficiency</t>
  </si>
  <si>
    <t>Spend grows with headcount and nobody questions the ratio.</t>
  </si>
  <si>
    <t>Cost per unit of output is reported but does not change decisions.</t>
  </si>
  <si>
    <t>Cost to serve is understood by segment and discussed at QBR.</t>
  </si>
  <si>
    <t>Growth is funded by displaced cost rather than new headcount.</t>
  </si>
  <si>
    <t>Capacity scales on compute. Headcount is a deliberate choice, not a consequence of growth.</t>
  </si>
  <si>
    <t>CAC payback and cost to serve are not calculated.</t>
  </si>
  <si>
    <t>Blended figures exist; no segment view and no owner.</t>
  </si>
  <si>
    <t>Both are calculated by segment and reviewed quarterly.</t>
  </si>
  <si>
    <t>Segment economics drive where the company invests, against an agreed baseline.</t>
  </si>
  <si>
    <t>Unit economics are proven per segment and survive a buyer’s own diligence.</t>
  </si>
  <si>
    <t>Spend approvals are ad hoc and reconstructed after the quarter.</t>
  </si>
  <si>
    <t>Thresholds exist; enforcement depends on who approves.</t>
  </si>
  <si>
    <t>Policy is applied through the finance system with a clean audit trail.</t>
  </si>
  <si>
    <t>Standard spend clears automatically; humans review exceptions only.</t>
  </si>
  <si>
    <t>Governance is encoded end to end. Out-of-policy spend cannot be committed.</t>
  </si>
  <si>
    <t>No history of what spend produced what return.</t>
  </si>
  <si>
    <t>Spend and outcome data exist in separate systems.</t>
  </si>
  <si>
    <t>Return on spend is analysed periodically by category.</t>
  </si>
  <si>
    <t>Historic return automatically re-weights the allocation model.</t>
  </si>
  <si>
    <t>The allocation record compounds into an advantage in where the company places capital.</t>
  </si>
  <si>
    <t>Budget reallocation happens once a year, if at all.</t>
  </si>
  <si>
    <t>Reallocation is possible mid-year but politically expensive.</t>
  </si>
  <si>
    <t>Quarterly reallocation against performance is routine.</t>
  </si>
  <si>
    <t>Capital moves to the best-returning segment within a quarter, without escalation.</t>
  </si>
  <si>
    <t>Allocation adjusts continuously against measured return.</t>
  </si>
  <si>
    <t>Every point of growth costs a proportional point of opex.</t>
  </si>
  <si>
    <t>Some operating leverage, but Rule of 40 is flat.</t>
  </si>
  <si>
    <t>Rule of 40 improving, driven mostly by growth.</t>
  </si>
  <si>
    <t>Rule of 40 above 40 and improving on the margin side.</t>
  </si>
  <si>
    <t>Volume can grow substantially with no material step in cost. Rule of 40 above 50.</t>
  </si>
  <si>
    <t>Data foundation</t>
  </si>
  <si>
    <t>The data estate supports reporting only. It enables no commercial claim.</t>
  </si>
  <si>
    <t>Data supports a productivity story but not a pricing change.</t>
  </si>
  <si>
    <t>Data supports a business case that cites customer headcount.</t>
  </si>
  <si>
    <t>The data asset lets you price against a named labour line.</t>
  </si>
  <si>
    <t>The data asset is why the buyer's alternative is hiring rather than buying.</t>
  </si>
  <si>
    <t>Outcomes cannot be measured from the data you hold.</t>
  </si>
  <si>
    <t>Activity can be measured; outcomes require a project.</t>
  </si>
  <si>
    <t>Outcomes can be measured with manual assembly each time.</t>
  </si>
  <si>
    <t>Outcomes can be measured from data you already hold, without a project.</t>
  </si>
  <si>
    <t>Outcome measurement is instrumented and continuous.</t>
  </si>
  <si>
    <t>Data must be extracted and moved by a person before anything can use it.</t>
  </si>
  <si>
    <t>Pipelines exist but break and need manual intervention.</t>
  </si>
  <si>
    <t>Pipelines run reliably; models read but do not write.</t>
  </si>
  <si>
    <t>Models read and act on the data without a person moving it first.</t>
  </si>
  <si>
    <t>The data layer serves autonomous agents directly, with governance enforced in place.</t>
  </si>
  <si>
    <t>Not growing. Rights and quality block most of it.</t>
  </si>
  <si>
    <t>Growing only in line with customer count.</t>
  </si>
  <si>
    <t>Growing faster than customer count as rights are cleared.</t>
  </si>
  <si>
    <t>Depth increased an order of magnitude, and the rights are settled.</t>
  </si>
  <si>
    <t>Every new data source is an engineering project.</t>
  </si>
  <si>
    <t>Onboarding a source is templated but still bespoke.</t>
  </si>
  <si>
    <t>Standard sources onboard through configuration.</t>
  </si>
  <si>
    <t>A new source can be onboarded without an engineering project.</t>
  </si>
  <si>
    <t>Sources onboard automatically with governance applied in place.</t>
  </si>
  <si>
    <t>Governance &amp; funding</t>
  </si>
  <si>
    <t>AI is funded from the technology budget as a technology project.</t>
  </si>
  <si>
    <t>AI is funded centrally with a productivity narrative attached.</t>
  </si>
  <si>
    <t>Funding requires a headcount case but the headcount is rarely released.</t>
  </si>
  <si>
    <t>There is a funding route for work that changes how revenue is earned.</t>
  </si>
  <si>
    <t>Investment decisions are made against the labour cost the work displaces.</t>
  </si>
  <si>
    <t>Investment is approved on delivery milestones alone.</t>
  </si>
  <si>
    <t>Benefits are stated at approval and never revisited.</t>
  </si>
  <si>
    <t>Benefits are reviewed but not measured against a baseline.</t>
  </si>
  <si>
    <t>Investment is approved against outcome targets and reviewed against them.</t>
  </si>
  <si>
    <t>Funding continues only where measured outcomes are delivered.</t>
  </si>
  <si>
    <t>Every decision needs a committee and a meeting.</t>
  </si>
  <si>
    <t>Decisions are logged in a tool, but each one waits on a person.</t>
  </si>
  <si>
    <t>Routine decisions follow a defined path; anything new goes to committee.</t>
  </si>
  <si>
    <t>Policy is enforced automatically; people handle exceptions only.</t>
  </si>
  <si>
    <t>Governance runs continuously in the background and surfaces only what breaches policy.</t>
  </si>
  <si>
    <t>No legal position exists on learning from customer data.</t>
  </si>
  <si>
    <t>The default position is no, with no route to change it.</t>
  </si>
  <si>
    <t>Case-by-case approval, negotiated per customer.</t>
  </si>
  <si>
    <t>A legal position permits learning across accounts, agreed and documented.</t>
  </si>
  <si>
    <t>Data rights are standard in the contract and treated as an asset.</t>
  </si>
  <si>
    <t>More than a year.</t>
  </si>
  <si>
    <t>Six to twelve months.</t>
  </si>
  <si>
    <t>Three to six months.</t>
  </si>
  <si>
    <t>Under three months.</t>
  </si>
  <si>
    <t>Weeks, with funding and approval routed automatically.</t>
  </si>
  <si>
    <t>It stays where it is. Nothing changes.</t>
  </si>
  <si>
    <t>Redeployment is discussed but rarely happens.</t>
  </si>
  <si>
    <t>Redeployment is decided once a year, at planning.</t>
  </si>
  <si>
    <t>Freed capacity is redeployed or removed within the year.</t>
  </si>
  <si>
    <t>Capacity moves continuously to wherever it is worth most.</t>
  </si>
  <si>
    <t>Lever weights and ceilings</t>
  </si>
  <si>
    <t>Value lever</t>
  </si>
  <si>
    <t>Check</t>
  </si>
  <si>
    <t>Ceiling</t>
  </si>
  <si>
    <t>level map</t>
  </si>
  <si>
    <t>Capability assessment</t>
  </si>
  <si>
    <t>L1</t>
  </si>
  <si>
    <t>36 capabilities across ten value levers. Each carries one rating; its frontier dimension is fixed. Read across the five descriptions and pick what the company can evidence today. Levels 4 and 5 need evidence a third party could verify — without it, score 3. Lever scores roll up on the machine block below and feed 4b.</t>
  </si>
  <si>
    <t>L2</t>
  </si>
  <si>
    <t>L3</t>
  </si>
  <si>
    <t>Lever</t>
  </si>
  <si>
    <t>Dim</t>
  </si>
  <si>
    <t>L1  Absent</t>
  </si>
  <si>
    <t>L2  Emerging</t>
  </si>
  <si>
    <t>L3  Defined</t>
  </si>
  <si>
    <t>L4  Advanced</t>
  </si>
  <si>
    <t>L5  Frontier</t>
  </si>
  <si>
    <t>LEVEL</t>
  </si>
  <si>
    <t>Metric impacted</t>
  </si>
  <si>
    <t>wt</t>
  </si>
  <si>
    <t>lvl#</t>
  </si>
  <si>
    <t>pts</t>
  </si>
  <si>
    <t>L4</t>
  </si>
  <si>
    <t>Proprietary data advantage</t>
  </si>
  <si>
    <t>No usage or outcome data is retained beyond logs.</t>
  </si>
  <si>
    <t>Data is retained but sits in systems nobody queries.</t>
  </si>
  <si>
    <t>A usable dataset exists; it informs roadmap decisions periodically.</t>
  </si>
  <si>
    <t>The dataset measurably improves the product and a competitor could not assemble it quickly.</t>
  </si>
  <si>
    <t>The dataset is the product's core defence. Replicating it requires the same install base and the same years.</t>
  </si>
  <si>
    <t>Gross margin, NRR</t>
  </si>
  <si>
    <t>L5</t>
  </si>
  <si>
    <t>AI-native product architecture</t>
  </si>
  <si>
    <t>AI is absent, or bolted on as a separate feature.</t>
  </si>
  <si>
    <t>AI features exist alongside the core product but share no architecture with it.</t>
  </si>
  <si>
    <t>Core functions are exposed as callable actions; some agents operate on them.</t>
  </si>
  <si>
    <t>The product is API-first end to end; agents can execute any core function without touching the UI.</t>
  </si>
  <si>
    <t>The product was rebuilt around agent execution. The UI is one client among several.</t>
  </si>
  <si>
    <t>Gross margin, ARR growth</t>
  </si>
  <si>
    <t>Workflow depth and embeddedness</t>
  </si>
  <si>
    <t>Used occasionally, easily replaced, no dependency.</t>
  </si>
  <si>
    <t>Used regularly but sits alongside the customer's real workflow.</t>
  </si>
  <si>
    <t>Embedded in a workflow the customer runs weekly.</t>
  </si>
  <si>
    <t>Embedded in a workflow that would break if the product were removed.</t>
  </si>
  <si>
    <t>The customer's process was redesigned around the product. Removal means rehiring.</t>
  </si>
  <si>
    <t>GRR, NRR</t>
  </si>
  <si>
    <t>Release velocity</t>
  </si>
  <si>
    <t>Releases are irregular and each one is a project.</t>
  </si>
  <si>
    <t>Scheduled releases, but new functionality reaches customers slowly.</t>
  </si>
  <si>
    <t>Regular release cadence; most customers are within a version or two.</t>
  </si>
  <si>
    <t>New functionality reaches the whole install base within a release cycle.</t>
  </si>
  <si>
    <t>Continuous delivery to the whole install base at no incremental cost per customer.</t>
  </si>
  <si>
    <t>ARR growth, NRR</t>
  </si>
  <si>
    <t>Model portability</t>
  </si>
  <si>
    <t>Built against one provider's API. Swapping means a rewrite.</t>
  </si>
  <si>
    <t>One provider, but calls are wrapped behind an internal interface.</t>
  </si>
  <si>
    <t>An abstraction layer exists; a second provider has been tested but not run in production.</t>
  </si>
  <si>
    <t>Two or more providers run in production and traffic can be shifted without a release.</t>
  </si>
  <si>
    <t>Requests route by cost and task across providers automatically. No single provider has pricing leverage over you.</t>
  </si>
  <si>
    <t>Gross margin, COGS per transaction</t>
  </si>
  <si>
    <t>Value metric and packaging design</t>
  </si>
  <si>
    <t>Priced per seat, with tiers defined by feature count.</t>
  </si>
  <si>
    <t>Per seat with usage add-ons bolted on top.</t>
  </si>
  <si>
    <t>A hybrid exists: platform fee plus a usage or volume component.</t>
  </si>
  <si>
    <t>ASP, NRR</t>
  </si>
  <si>
    <t>Outcome measurement and price realisation</t>
  </si>
  <si>
    <t>No outcome measurement. Discounting is unmanaged.</t>
  </si>
  <si>
    <t>Outcomes are claimed in marketing; realised price is tracked after the fact.</t>
  </si>
  <si>
    <t>Outcomes are reported to customers; discount approval has a policy.</t>
  </si>
  <si>
    <t>Baseline agreed before deployment and the delta measured against it; realised price holds within a narrow band of list.</t>
  </si>
  <si>
    <t>Realised price, NRR</t>
  </si>
  <si>
    <t>Buyer-value discovery</t>
  </si>
  <si>
    <t>Discovery covers requirements and features only.</t>
  </si>
  <si>
    <t>Discovery asks about pain but not about cost of the work.</t>
  </si>
  <si>
    <t>Reps ask what the current process costs, though the answer rarely reaches the proposal.</t>
  </si>
  <si>
    <t>Every enterprise deal is scoped against a quantified labour line the buyer confirms.</t>
  </si>
  <si>
    <t>The buyer's own finance team supplies the baseline. The deal is priced against their number, not yours.</t>
  </si>
  <si>
    <t>Win rate, ASP</t>
  </si>
  <si>
    <t>Pipeline intelligence</t>
  </si>
  <si>
    <t>Pipeline is whatever reps type into the CRM.</t>
  </si>
  <si>
    <t>Stage definitions exist; hygiene is enforced manually.</t>
  </si>
  <si>
    <t>Scoring exists and is roughly trusted; forecasts are still adjusted by judgement.</t>
  </si>
  <si>
    <t>Signals from product and engagement data drive scoring, and the model is measurably calibrated.</t>
  </si>
  <si>
    <t>Pipeline quality improves continuously from closed-loop outcome data no competitor holds.</t>
  </si>
  <si>
    <t>Forecast accuracy, win rate</t>
  </si>
  <si>
    <t>Deal desk and approval design</t>
  </si>
  <si>
    <t>Approvals are ad hoc, routed by email.</t>
  </si>
  <si>
    <t>A policy exists; exceptions are frequent and manual.</t>
  </si>
  <si>
    <t>Deal desk reviews non-standard terms within a defined SLA.</t>
  </si>
  <si>
    <t>Standard deals clear approval automatically; humans see exceptions only.</t>
  </si>
  <si>
    <t>Approval logic is encoded end to end. Terms outside policy cannot be quoted.</t>
  </si>
  <si>
    <t>Sales cycle time, discount leakage</t>
  </si>
  <si>
    <t>Rep enablement and ramp</t>
  </si>
  <si>
    <t>New reps learn by shadowing. Ramp is undefined.</t>
  </si>
  <si>
    <t>Onboarding content exists but is static and rarely updated.</t>
  </si>
  <si>
    <t>Structured ramp with defined milestones; time to quota is measured.</t>
  </si>
  <si>
    <t>Enablement adapts to the rep, and ramp time has measurably shortened.</t>
  </si>
  <si>
    <t>Adding a rep costs a fraction of what it did two years ago, and quota attainment holds.</t>
  </si>
  <si>
    <t>Time to quota, sales efficiency</t>
  </si>
  <si>
    <t>Sales methodology consistency</t>
  </si>
  <si>
    <t>No common methodology. Every rep sells their own way.</t>
  </si>
  <si>
    <t>A methodology is named in training but not used in the CRM or in deal reviews.</t>
  </si>
  <si>
    <t>Methodology is applied in pre-sales; qualification fields are completed on most deals.</t>
  </si>
  <si>
    <t>The same methodology runs pre-sales and post-sales, and handover carries the qualification and the value case intact.</t>
  </si>
  <si>
    <t>One methodology governs discovery through renewal across the whole organisation, and every deal review uses its language.</t>
  </si>
  <si>
    <t>Win rate, forecast accuracy</t>
  </si>
  <si>
    <t>Health signal detection</t>
  </si>
  <si>
    <t>Churn is discovered at renewal.</t>
  </si>
  <si>
    <t>Usage is reported but not connected to renewal risk.</t>
  </si>
  <si>
    <t>A health score exists and is broadly believed.</t>
  </si>
  <si>
    <t>Risk is predicted early enough to act, and the prediction is measurably accurate.</t>
  </si>
  <si>
    <t>Detection improves continuously from every renewal outcome, across the whole base.</t>
  </si>
  <si>
    <t>GRR, churn rate</t>
  </si>
  <si>
    <t>Proactive intervention capacity</t>
  </si>
  <si>
    <t>Intervention is reactive and depends on who notices.</t>
  </si>
  <si>
    <t>CSMs intervene based on judgement and their own lists.</t>
  </si>
  <si>
    <t>Playbooks exist and are triggered manually from the health score.</t>
  </si>
  <si>
    <t>Intervention triggers automatically; CSMs handle exceptions and escalations.</t>
  </si>
  <si>
    <t>The system intervenes, resolves, and only surfaces cases that need a human.</t>
  </si>
  <si>
    <t>GRR, cost to serve</t>
  </si>
  <si>
    <t>Expansion motion design</t>
  </si>
  <si>
    <t>Expansion happens when a customer asks.</t>
  </si>
  <si>
    <t>Upsell targets exist; the motion is the same as new business.</t>
  </si>
  <si>
    <t>A defined expansion motion with its own triggers and owners.</t>
  </si>
  <si>
    <t>Expansion is largely product-led; volume grows without proportional CSM headcount.</t>
  </si>
  <si>
    <t>The install base expands itself. Incremental revenue carries near-zero acquisition cost.</t>
  </si>
  <si>
    <t>NRR, expansion ARR</t>
  </si>
  <si>
    <t>Renewal value case</t>
  </si>
  <si>
    <t>Renewal is a price conversation.</t>
  </si>
  <si>
    <t>Renewal decks cite usage and adoption statistics.</t>
  </si>
  <si>
    <t>A value case is presented, built from your data, not theirs.</t>
  </si>
  <si>
    <t>The value case cites an agreed baseline and a measured delta the customer signs.</t>
  </si>
  <si>
    <t>The customer's own finance function carries the number into their budget.</t>
  </si>
  <si>
    <t>NRR, renewal rate</t>
  </si>
  <si>
    <t>Partner distribution and API surface</t>
  </si>
  <si>
    <t>No partner motion. Integrations are one-off builds.</t>
  </si>
  <si>
    <t>A few integrations exist, each built and maintained by hand.</t>
  </si>
  <si>
    <t>A documented public API; partners can build without your engineers.</t>
  </si>
  <si>
    <t>New integrations reach the whole install base through a shared surface within a release cycle.</t>
  </si>
  <si>
    <t>Partners ship on your surface continuously and it costs you nothing per partner.</t>
  </si>
  <si>
    <t>Partner-sourced ARR, CAC</t>
  </si>
  <si>
    <t>Data network effects</t>
  </si>
  <si>
    <t>Each customer's data benefits only that customer.</t>
  </si>
  <si>
    <t>Aggregate benchmarks exist but are produced manually.</t>
  </si>
  <si>
    <t>Cross-customer data measurably improves the product for everyone.</t>
  </si>
  <si>
    <t>The improvement is continuous, and new customers get a better product on day one.</t>
  </si>
  <si>
    <t>The advantage compounds with each customer and cannot be bought or rebuilt.</t>
  </si>
  <si>
    <t>NRR, win rate</t>
  </si>
  <si>
    <t>Marketplace presence</t>
  </si>
  <si>
    <t>Not listed anywhere.</t>
  </si>
  <si>
    <t>Listed, but the listing generates no pipeline.</t>
  </si>
  <si>
    <t>Listed on the marketplaces your buyers use, producing measurable pipeline.</t>
  </si>
  <si>
    <t>Marketplace transactions complete without your team touching them.</t>
  </si>
  <si>
    <t>Marketplace is a real channel that scales volume with no incremental cost to serve.</t>
  </si>
  <si>
    <t>CAC, pipeline coverage</t>
  </si>
  <si>
    <t>Engineering productivity</t>
  </si>
  <si>
    <t>No measurement of engineering output or AI assistance.</t>
  </si>
  <si>
    <t>AI coding tools are available; usage is optional and unmeasured.</t>
  </si>
  <si>
    <t>Adoption is measured and time savings are reported.</t>
  </si>
  <si>
    <t>Freed capacity is quantified and reassigned to named roadmap scope.</t>
  </si>
  <si>
    <t>Engineering capacity is planned as a redeployable pool. Savings show up as delivered scope, not as a slide.</t>
  </si>
  <si>
    <t>R&amp;D as % of revenue, release throughput</t>
  </si>
  <si>
    <t>Platform and reuse architecture</t>
  </si>
  <si>
    <t>Every feature is built from scratch for one customer or one case.</t>
  </si>
  <si>
    <t>Some shared libraries; reuse is by convention, not design.</t>
  </si>
  <si>
    <t>A platform layer exists and new work builds on it.</t>
  </si>
  <si>
    <t>New functionality reaches the whole install base through the platform within a release cycle.</t>
  </si>
  <si>
    <t>The platform is the product. Marginal cost of the next capability is close to zero.</t>
  </si>
  <si>
    <t>R&amp;D as % of revenue, gross margin</t>
  </si>
  <si>
    <t>Quality and test automation</t>
  </si>
  <si>
    <t>Testing is manual and release quality is variable.</t>
  </si>
  <si>
    <t>Automated tests cover the critical path only.</t>
  </si>
  <si>
    <t>Broad automated coverage; releases gate on it.</t>
  </si>
  <si>
    <t>Tests are generated and maintained with AI assistance; humans review failures only.</t>
  </si>
  <si>
    <t>Quality assurance runs unattended. Engineers set policy, not test cases.</t>
  </si>
  <si>
    <t>R&amp;D as % of revenue, escaped defects</t>
  </si>
  <si>
    <t>Technical debt management</t>
  </si>
  <si>
    <t>Debt is unmeasured and accumulating.</t>
  </si>
  <si>
    <t>Debt is acknowledged in retrospectives but rarely funded.</t>
  </si>
  <si>
    <t>A register exists with an allocated share of capacity.</t>
  </si>
  <si>
    <t>Debt is measured against delivery velocity and paid down without slowing releases.</t>
  </si>
  <si>
    <t>The codebase supports volume growth without a proportional increase in maintenance cost.</t>
  </si>
  <si>
    <t>Release throughput, maintenance cost</t>
  </si>
  <si>
    <t>Quote, contract and billing automation</t>
  </si>
  <si>
    <t>Templates exist; approvals and billing are still manual.</t>
  </si>
  <si>
    <t>Standard deals quote, contract and bill without human touch; exceptions are routed.</t>
  </si>
  <si>
    <t>The whole chain runs unattended within policy, including usage and outcome-based terms.</t>
  </si>
  <si>
    <t>Sales cycle time, G&amp;A as % of revenue</t>
  </si>
  <si>
    <t>Revenue recognition integrity</t>
  </si>
  <si>
    <t>Recognition is reconstructed manually at period end.</t>
  </si>
  <si>
    <t>Rules exist; application is manual and error-prone.</t>
  </si>
  <si>
    <t>Systemised recognition with a clean audit trail.</t>
  </si>
  <si>
    <t>Recognition handles hybrid and usage-based terms correctly without adjustment.</t>
  </si>
  <si>
    <t>Outcome-based revenue recognises cleanly and survives audit without a manual schedule.</t>
  </si>
  <si>
    <t>Audit cost, close cycle time</t>
  </si>
  <si>
    <t>Collections and DSO management</t>
  </si>
  <si>
    <t>Collections are chased individually when someone notices.</t>
  </si>
  <si>
    <t>A dunning process exists; DSO is reported but not managed.</t>
  </si>
  <si>
    <t>Automated dunning with defined escalation; DSO is actively managed.</t>
  </si>
  <si>
    <t>Collections scale with customer count without adding headcount.</t>
  </si>
  <si>
    <t>Cash collection is effectively self-managing across the whole base.</t>
  </si>
  <si>
    <t>DSO, working capital</t>
  </si>
  <si>
    <t>Cloud, compute and inference cost</t>
  </si>
  <si>
    <t>Infrastructure spend is unexamined; inference cost is unknown.</t>
  </si>
  <si>
    <t>Spend is reported monthly but not attributed to product or customer.</t>
  </si>
  <si>
    <t>Cost is attributed by workload; obvious waste has been removed.</t>
  </si>
  <si>
    <t>Inference is routed by cost and task; unit cost per transaction is tracked and falling.</t>
  </si>
  <si>
    <t>Serving the next unit of volume costs close to nothing, and margin holds as usage grows.</t>
  </si>
  <si>
    <t>Vendor portfolio rationalisation</t>
  </si>
  <si>
    <t>Vendor spend is fragmented and unowned.</t>
  </si>
  <si>
    <t>An inventory exists; renewals are handled individually.</t>
  </si>
  <si>
    <t>Portfolio is reviewed on a cycle and overlaps are removed.</t>
  </si>
  <si>
    <t>Consolidation has measurably reduced spend against a named baseline.</t>
  </si>
  <si>
    <t>Vendor spend substitutes for internal labour cost and is justified against it.</t>
  </si>
  <si>
    <t>G&amp;A as % of revenue, vendor spend</t>
  </si>
  <si>
    <t>Contract negotiation leverage</t>
  </si>
  <si>
    <t>Negotiation relies on the individual doing it.</t>
  </si>
  <si>
    <t>Benchmarks are gathered informally before renewals.</t>
  </si>
  <si>
    <t>Internal benchmark data informs every material negotiation.</t>
  </si>
  <si>
    <t>Accumulated pricing history measurably improves terms cycle over cycle.</t>
  </si>
  <si>
    <t>Negotiation leverage compounds from data no counterparty can see.</t>
  </si>
  <si>
    <t>Gross margin, vendor spend</t>
  </si>
  <si>
    <t>Knowledge retrieval and reuse</t>
  </si>
  <si>
    <t>Knowledge lives in people's heads and scattered documents.</t>
  </si>
  <si>
    <t>A wiki exists; it is stale and lightly used.</t>
  </si>
  <si>
    <t>Search works across the main systems and people use it.</t>
  </si>
  <si>
    <t>Retrieval answers questions directly and is measurably faster than asking a colleague.</t>
  </si>
  <si>
    <t>Institutional knowledge is queryable and improves with every answer given.</t>
  </si>
  <si>
    <t>G&amp;A as % of revenue, time to resolution</t>
  </si>
  <si>
    <t>Process automation in back office</t>
  </si>
  <si>
    <t>Back-office processes are manual end to end.</t>
  </si>
  <si>
    <t>Some scripts and macros; each owned by one person.</t>
  </si>
  <si>
    <t>Defined processes with automation on the highest-volume steps.</t>
  </si>
  <si>
    <t>Processes complete without human touch; staff handle exceptions only.</t>
  </si>
  <si>
    <t>The back office runs unattended within policy. Headcount is set by exception volume.</t>
  </si>
  <si>
    <t>G&amp;A as % of revenue, cost to serve</t>
  </si>
  <si>
    <t>Talent acquisition and ramp</t>
  </si>
  <si>
    <t>Hiring is reactive; ramp is undefined.</t>
  </si>
  <si>
    <t>A process exists; time to productivity is not measured.</t>
  </si>
  <si>
    <t>Structured onboarding with measured time to productivity.</t>
  </si>
  <si>
    <t>Ramp time has measurably shortened and holds as hiring scales.</t>
  </si>
  <si>
    <t>Headcount can grow substantially without a proportional increase in onboarding cost.</t>
  </si>
  <si>
    <t>Time to productivity, G&amp;A as % of revenue</t>
  </si>
  <si>
    <t>Workforce planning</t>
  </si>
  <si>
    <t>Headcount planning is a budget exercise disconnected from output.</t>
  </si>
  <si>
    <t>Plans exist by function but are not tied to workload.</t>
  </si>
  <si>
    <t>Planning uses workload data; capacity is visible by team.</t>
  </si>
  <si>
    <t>Freed capacity is identified, quantified and formally reassigned.</t>
  </si>
  <si>
    <t>Capacity is managed as a portfolio and every release of it is evidenced in the plan.</t>
  </si>
  <si>
    <t>Headcount per $M ARR, cost to serve</t>
  </si>
  <si>
    <t>Unit economics by segment</t>
  </si>
  <si>
    <t>Blended figures exist; no segment view.</t>
  </si>
  <si>
    <t>Segment economics drive where the company invests, with an agreed baseline per segment.</t>
  </si>
  <si>
    <t>Unit economics are proven per segment and survive a buyer's own diligence.</t>
  </si>
  <si>
    <t>CAC payback, cost to serve</t>
  </si>
  <si>
    <t>Spend governance</t>
  </si>
  <si>
    <t>Spend approvals are inconsistent and after the fact.</t>
  </si>
  <si>
    <t>Thresholds exist; enforcement depends on the approver.</t>
  </si>
  <si>
    <t>Policy is applied through the finance system with a clean trail.</t>
  </si>
  <si>
    <t>Governance is encoded. Out-of-policy spend cannot be committed.</t>
  </si>
  <si>
    <t>Rule of 40, opex variance</t>
  </si>
  <si>
    <t>Burn discipline</t>
  </si>
  <si>
    <t>Burn is reported but not managed against a plan.</t>
  </si>
  <si>
    <t>A plan exists; variance is explained after the quarter.</t>
  </si>
  <si>
    <t>Burn is managed to plan with monthly accountability by owner.</t>
  </si>
  <si>
    <t>Growth is funded without a proportional increase in burn; Rule of 40 is measurably improving.</t>
  </si>
  <si>
    <t>The company can grow volume substantially without a material step in cost.</t>
  </si>
  <si>
    <t>Rule of 40, burn multiple</t>
  </si>
  <si>
    <t>Machine block — lever rollup. Barr dimension weighting, normalised for the dimensions each lever actually touches.</t>
  </si>
  <si>
    <t>Score</t>
  </si>
  <si>
    <t>Gap</t>
  </si>
  <si>
    <t>% of frontier</t>
  </si>
  <si>
    <t>Capabilities</t>
  </si>
  <si>
    <t>Frontier dimensions</t>
  </si>
  <si>
    <t>Mean level</t>
  </si>
  <si>
    <t>Readiness</t>
  </si>
  <si>
    <t>Weighted capability score</t>
  </si>
  <si>
    <t>Frontier ceiling</t>
  </si>
  <si>
    <t>Distance to frontier</t>
  </si>
  <si>
    <t>Normalised capability maturity</t>
  </si>
  <si>
    <t>Budget Displaced, weighted mean</t>
  </si>
  <si>
    <t>Outcome Attribution, weighted mean</t>
  </si>
  <si>
    <t>Frontier maturity (lower of BD and OA)</t>
  </si>
  <si>
    <t>Capabilities scored</t>
  </si>
  <si>
    <t>Read by 4b_Value_Pools_by_Capability and 8_Enterprise_Value.</t>
  </si>
  <si>
    <t>Enablers</t>
  </si>
  <si>
    <t>Enabler</t>
  </si>
  <si>
    <t>Threshold</t>
  </si>
  <si>
    <t>Gate</t>
  </si>
  <si>
    <t>Governance and funding</t>
  </si>
  <si>
    <t>Combined enabler gate</t>
  </si>
  <si>
    <t>Enter the two enabler scores out of 10. Below the 7.0 threshold the gate bites and caps conversion on every lever.</t>
  </si>
  <si>
    <t>Maturity matrix</t>
  </si>
  <si>
    <t>Lever against frontier dimension, mean level of the capabilities tagged to it. Blank means the lever has no capability on that dimension.</t>
  </si>
  <si>
    <t>LEVER</t>
  </si>
  <si>
    <t>DIMENSION</t>
  </si>
  <si>
    <t>Live from 2_Capability_Assessment. Distance is measured against each capability's own ceiling, derived from the six dimensions weighted for that capability. The value column is what closing the gap is worth before feasibility and timing.</t>
  </si>
  <si>
    <t>Closed</t>
  </si>
  <si>
    <t>Reachable</t>
  </si>
  <si>
    <t>Gross pool</t>
  </si>
  <si>
    <t>Adjusted pool</t>
  </si>
  <si>
    <t>At stake</t>
  </si>
  <si>
    <t>Binding dimension</t>
  </si>
  <si>
    <t>Gate applied to capture</t>
  </si>
  <si>
    <t>Multiplies every capability's maturity on 4b. An enabler at or above 70% of the frontier does not cap; below that it suppresses capture proportionally.</t>
  </si>
  <si>
    <t>Closed is the share of the ceiling already reached. Reachable is Barr's gap scaling function eta(g), pulled from 4b — the further from the frontier, the more of the pool is still unclaimed, so reachability rises with distance and is floored at 15%. Read the two together: a capability that is far behind has more headroom but converts it less well, which is why readiness and reachability pull against each other. At stake is the gross pool less what is currently adjustable, which is what closing the capability gap is worth before feasibility and timing are applied.</t>
  </si>
  <si>
    <t>Value pools by value lever</t>
  </si>
  <si>
    <t>The prize is set by the company’s own cost and revenue lines, not by its scores. For each lever: revenue × base % (the line it touches) × uplift % (a published benchmark for what AI does to that line) = GROSS. Only then do the scores apply, through capture ceiling, reachability and capability maturity = ADJUSTED.</t>
  </si>
  <si>
    <t>Vertical SaaS</t>
  </si>
  <si>
    <t>Sets the frontier cohort. Read by tabs 5 and 6.</t>
  </si>
  <si>
    <t>Industry critical scale S*</t>
  </si>
  <si>
    <t>Barr’s critical-scale threshold. Drives the firm scale factor.</t>
  </si>
  <si>
    <t>ARR plus professional services.</t>
  </si>
  <si>
    <t>Capture adjustment</t>
  </si>
  <si>
    <t>Leave at 1.00 unless deliberately scaling every pool.</t>
  </si>
  <si>
    <t>Reachability curve steepness</t>
  </si>
  <si>
    <t>Lambda in Barr Eq. 25. Judgemental constant, not calibrated.</t>
  </si>
  <si>
    <t>Vendor AI only? (Yes / No)</t>
  </si>
  <si>
    <t>No</t>
  </si>
  <si>
    <t>Barr caps Phi at 0.65 where a firm deploys only off-the-shelf vendor AI.</t>
  </si>
  <si>
    <t>Firm scale factor (Phi)</t>
  </si>
  <si>
    <t>Barr Eq. 21. Logistic on revenue against S*.</t>
  </si>
  <si>
    <t>Enabler gate</t>
  </si>
  <si>
    <t>Data foundation and governance. Below 7.0 it caps conversion on every lever.</t>
  </si>
  <si>
    <t>Share of accounts on an AI tier</t>
  </si>
  <si>
    <t>Sizes Product and services differentiation. Pricing and packaging takes the remainder plus a residual.</t>
  </si>
  <si>
    <t>Residual pricing headroom on tiered accounts</t>
  </si>
  <si>
    <t>How much of the 10% discount gap is still open where the AI premium already applies. At 0% the two levers partition the revenue base cleanly.</t>
  </si>
  <si>
    <t>SCORE</t>
  </si>
  <si>
    <t>CEILING</t>
  </si>
  <si>
    <t>REACH</t>
  </si>
  <si>
    <t>MATURITY</t>
  </si>
  <si>
    <t>CAPTURE
CEILING</t>
  </si>
  <si>
    <t>ADJUSTED POOL</t>
  </si>
  <si>
    <t>REV
SHARE</t>
  </si>
  <si>
    <t>REVENUE
EFFECT</t>
  </si>
  <si>
    <t>COST
EFFECT</t>
  </si>
  <si>
    <t>CASH EBITDA</t>
  </si>
  <si>
    <t>METRIC IMPACTED</t>
  </si>
  <si>
    <t>UPLIFT SOURCE</t>
  </si>
  <si>
    <t>STATUS</t>
  </si>
  <si>
    <t>SAAS BAND</t>
  </si>
  <si>
    <t>Accounts on an AI tier, from the shared input above. The AI premium lifts revenue per account by 25%. Company figure.</t>
  </si>
  <si>
    <t>SaaS-specific. AI-native SaaS enables pricing models that were not viable before — per-AI-query billing, premium AI tiers and MCP access fees for partners wanting structured data access (Qrvey, 2026). No published median for the premium itself, so 25% remains a Contoso figure.</t>
  </si>
  <si>
    <t>COMPANY</t>
  </si>
  <si>
    <t>—</t>
  </si>
  <si>
    <t>Accounts not on an AI tier carry the full 10% discount gap. Accounts already on a tier have had part of that gap closed by the premium, so only the residual share below applies to them. This is what stops Pricing and Product double-counting the same dollar.</t>
  </si>
  <si>
    <t>ASP, realised price, NRR</t>
  </si>
  <si>
    <t>SaaS-specific. Per-seat pricing is breaking as customers reduce seats rather than add them; Workday attributed an 8.5% workforce reduction to AI efficiency. Hybrid models are the bridge. The 10% realised discount is a Contoso figure.</t>
  </si>
  <si>
    <t>Sales 15% plus marketing 8% of ARR, the 2026 SaaS Capital medians, converted to 18.4% of total revenue. Fifteen percent of that comes back. Split 40% to revenue won and 60% to cost saved — AI selling capacity can be taken as fewer sellers or as more pipeline.</t>
  </si>
  <si>
    <t>Win rate, sales efficiency</t>
  </si>
  <si>
    <t>SaaS-specific. State of B2B SaaS Sales 2026, 500+ companies: firms that rebuilt the SDR motion around AI see 3–5x better results than those running 2020-era manual prospecting. Cross-industry anchor: Brynjolfsson, Li and Raymond, QJE 2025, 14% average productivity gain across 5,179 agents.</t>
  </si>
  <si>
    <t>PUBLISHED</t>
  </si>
  <si>
    <t>15–25%</t>
  </si>
  <si>
    <t>AI churn prediction moves SaaS churn from 6.8% to 4.9% after twelve months — 1.9 points of revenue retained.</t>
  </si>
  <si>
    <t>SaaS-specific. AI resolves 50–60% of tier-1 support queries and reduces customer service costs by roughly 30% (industry reporting, 2026). Churn falls from 6.8% to 4.9% after twelve months of AI churn prediction — 1.9 points of revenue retained.</t>
  </si>
  <si>
    <t>30% of revenue comes through partners. AI lifts that by 2%. Company figure.</t>
  </si>
  <si>
    <t>SaaS-specific but thin. MCP access fees for partners wanting structured data access are an emerging revenue line (Qrvey, 2026). No published uplift figure. 2% is judgemental.</t>
  </si>
  <si>
    <t>UNSOURCED</t>
  </si>
  <si>
    <t>R&amp;D at the 2026 median of 22% of ARR, converted to 17.6% of total revenue. AI makes engineers 26% faster.</t>
  </si>
  <si>
    <t>R&amp;D as % of revenue</t>
  </si>
  <si>
    <t>SaaS-specific. GitHub reports its AI coding assistant automates roughly 30% of developers’ code writing. Cross-industry RCT: Cui et al. 2025, 4,867 developers at Microsoft, Accenture and a Fortune 100 firm, 26.08% more completed pull requests.</t>
  </si>
  <si>
    <t>26–30%</t>
  </si>
  <si>
    <t>3% of ARR, the revops share of the 15% G&amp;A benchmark, converted to 2.4% of revenue. Quote-to-cash automation removes 30% of it.</t>
  </si>
  <si>
    <t>SaaS-specific. EvenFlow AI, an automotive scheduling SaaS, reduced operational capacity inefficiencies by up to 30% automating workflows that previously required manual analysis. Single case, not a median.</t>
  </si>
  <si>
    <t>PARTIAL</t>
  </si>
  <si>
    <t>~30%</t>
  </si>
  <si>
    <t>Hosting 5% plus DevOps 4% of ARR at the 2026 medians, converted to 7.2% of revenue. Cut 15% by buying better and routing inference by cost.</t>
  </si>
  <si>
    <t>SaaS-specific and pointing the other way. Scaling AI to production routinely reveals 500–1,000% cost underestimation; companies underestimate total AI cost by 30% or more (Herbatschek, 2026). Inference, storage, fine-tuning and in-production maintenance compound. Treat 15% as optimistic.</t>
  </si>
  <si>
    <t>CONTESTED</t>
  </si>
  <si>
    <t>negative risk</t>
  </si>
  <si>
    <t>The remaining 12% of the G&amp;A benchmark, converted to 9.6% of revenue. Back office works 15% faster.</t>
  </si>
  <si>
    <t>G&amp;A as % of revenue</t>
  </si>
  <si>
    <t>SaaS-specific. Companies consolidating their SaaS stack see 20–35% cost reductions and 3.2x ROI within twelve months; platform AI now replaces 25–35% of point solutions out of the box. AI point tools have the lowest utilisation of any category at 38%.</t>
  </si>
  <si>
    <t>20–35%</t>
  </si>
  <si>
    <t>No independent pool. CAC payback and cost to serve are realisations of the other levers — sizing them here would double-count Sales effectiveness and Employee experience.</t>
  </si>
  <si>
    <t>Rule of 40, CAC payback</t>
  </si>
  <si>
    <t>Not sized. CAC payback and cost to serve are realisations of the other levers; a pool here would double-count.</t>
  </si>
  <si>
    <t>N/A</t>
  </si>
  <si>
    <t>TOTAL</t>
  </si>
  <si>
    <t>SUMMARY — read by the downstream tabs</t>
  </si>
  <si>
    <t>Adjusted pool at current capability</t>
  </si>
  <si>
    <t>Share of gross captured</t>
  </si>
  <si>
    <t>Left on the table</t>
  </si>
  <si>
    <t>Revenue effect</t>
  </si>
  <si>
    <t>Cost effect</t>
  </si>
  <si>
    <t>Cash EBITDA effect</t>
  </si>
  <si>
    <t>Largest adjusted pool</t>
  </si>
  <si>
    <t>Aggregate capture check</t>
  </si>
  <si>
    <t>Adjusted pool after feasibility</t>
  </si>
  <si>
    <t>Realised in window, timed</t>
  </si>
  <si>
    <t>Lost to timing</t>
  </si>
  <si>
    <t>Revenue effect, timed</t>
  </si>
  <si>
    <t>Cash EBITDA effect, timed</t>
  </si>
  <si>
    <t>NOTES</t>
  </si>
  <si>
    <t>1.  Scores come from 2_Capability_Assessment, where 36 capabilities are rated once each against the frontier dimension they primarily advance.</t>
  </si>
  <si>
    <t>2.  Lever score uses Barr dimension weighting, normalised for the dimensions each lever actually touches.</t>
  </si>
  <si>
    <t>3.  Capital efficiency is scored but carries no pool — sizing it would double-count Sales effectiveness and Employee experience.</t>
  </si>
  <si>
    <t>4.  Pricing and packaging carries the discount-recovery pool that previously sat under Revenue operations.</t>
  </si>
  <si>
    <t>5.  Customer retention uplift of 1.9% is sourced: AI churn prediction moves SaaS churn from 6.8% to 4.9% after twelve months.</t>
  </si>
  <si>
    <t>6.  Revenue operations base of 3.0% of revenue is a PLACEHOLDER. Confirm the actual revops cost base with management.</t>
  </si>
  <si>
    <t>7.  The enabler gates are applied once, in D12. They are not re-applied on tab 5.</t>
  </si>
  <si>
    <t>8.  Column AE names the operating metric each lever moves.</t>
  </si>
  <si>
    <t>BREAKDOWN BY CAPABILITY</t>
  </si>
  <si>
    <t>Each lever’s pool split across its capabilities in proportion to the dimension weight that capability carries. A capability sitting on a dimension the lever depends on takes more of the pool.</t>
  </si>
  <si>
    <t>VALUE LEVER</t>
  </si>
  <si>
    <t>CAPABILITY</t>
  </si>
  <si>
    <t>DIM</t>
  </si>
  <si>
    <t>WEIGHT
in lever</t>
  </si>
  <si>
    <t>GROSS</t>
  </si>
  <si>
    <t>ADJUSTED</t>
  </si>
  <si>
    <t>UPLIFT SOURCES — SaaS industry</t>
  </si>
  <si>
    <t>State of B2B SaaS Sales 2026</t>
  </si>
  <si>
    <t>Survey of 500+ B2B SaaS companies. Firms that rebuilt the SDR motion around AI report 3–5x better results than those running manual prospecting and template outreach. Used for Sales effectiveness.</t>
  </si>
  <si>
    <t>SaaS platform consolidation, 2026</t>
  </si>
  <si>
    <t>Companies consolidating their SaaS stack see 20–35% cost reductions and 3.2x ROI within twelve months. Platform AI replaces 25–35% of point solutions out of the box. AI point tools show 38% utilisation, the lowest of any category. Used for Employee experience.</t>
  </si>
  <si>
    <t>SaaS support automation, 2026</t>
  </si>
  <si>
    <t>AI resolves 50–60% of tier-1 support queries; chatbots reduce customer service costs by around 30%. Gartner: 85% of service leaders piloting conversational AI. Used alongside the churn figure for Customer retention.</t>
  </si>
  <si>
    <t>GitHub and Cui et al. 2025</t>
  </si>
  <si>
    <t>GitHub reports its coding assistant automates roughly 30% of code writing. Cui et al. RCT across 4,867 developers found 26.08% more completed pull requests. Used for Product engineering.</t>
  </si>
  <si>
    <t>Herbatschek 2026 / BetterCloud 2026</t>
  </si>
  <si>
    <t>Scaling AI to production routinely reveals 500–1,000% cost underestimation; total AI cost underestimated by 30% or more. Inference, storage, fine-tuning and in-production maintenance compound faster than roadmap planning accounts for. This works against the Supplier and infrastructure uplift.</t>
  </si>
  <si>
    <t>Gartner, via BetterCloud 2026</t>
  </si>
  <si>
    <t>Enterprise software spend rising 14.7% in 2026 to more than $1.4 trillion, with generative AI the primary accelerant. 40% of enterprise apps will carry task-specific AI agents by 2026. 35% of point-product SaaS tools replaced by AI agents by 2030.</t>
  </si>
  <si>
    <t>Unsourced</t>
  </si>
  <si>
    <t>Ecosystem strategy at 2% has no published SaaS uplift figure. Revenue operations at 30% rests on a single case study, not a median. Together $19.8M of gross pool.</t>
  </si>
  <si>
    <t>Metric impact</t>
  </si>
  <si>
    <t>Each operating metric starts from a stated baseline. The value pools that feed it are converted into an uplift and a target. Pools here are after feasibility and timing — the run rate a sponsor can underwrite, not the gross prize.</t>
  </si>
  <si>
    <t>METRIC</t>
  </si>
  <si>
    <t>BASELINE</t>
  </si>
  <si>
    <t>UPLIFT</t>
  </si>
  <si>
    <t>TARGET</t>
  </si>
  <si>
    <t>POOL BEHIND
THIS METRIC</t>
  </si>
  <si>
    <t>SHARE OF THE
DISTINCT POOL</t>
  </si>
  <si>
    <t>HOW IT CONVERTS</t>
  </si>
  <si>
    <t>NRR</t>
  </si>
  <si>
    <t>Revenue-side pools divided by ARR, added to baseline.</t>
  </si>
  <si>
    <t>GRR</t>
  </si>
  <si>
    <t>Retention pool, revenue share only, divided by ARR.</t>
  </si>
  <si>
    <t>Gross margin</t>
  </si>
  <si>
    <t>Infrastructure and inference cost removed, divided by revenue.</t>
  </si>
  <si>
    <t>Engineering cost removed, divided by revenue. Lower is better.</t>
  </si>
  <si>
    <t>Back-office and revops cost removed. Lower is better.</t>
  </si>
  <si>
    <t>S&amp;M as % of revenue</t>
  </si>
  <si>
    <t>Selling cost removed, divided by revenue. Lower is better.</t>
  </si>
  <si>
    <t>New logo growth</t>
  </si>
  <si>
    <t>New customers won. Feeds ARR growth alongside expansion.</t>
  </si>
  <si>
    <t>Realised price vs list</t>
  </si>
  <si>
    <t>Discount recovered, divided by revenue.</t>
  </si>
  <si>
    <t>EBITDA margin</t>
  </si>
  <si>
    <t>Derived from the four cost-side rows above. No pool of its own.</t>
  </si>
  <si>
    <t>Rule of 40</t>
  </si>
  <si>
    <t>Derived, not a separate pool. The strongest single predictor of the SaaS multiple.</t>
  </si>
  <si>
    <t>ARR growth</t>
  </si>
  <si>
    <t>New logo growth plus expansion from NRR above 100%. Derived, no pool of its own.</t>
  </si>
  <si>
    <t>Every lever is allocated once. The pool column now sums to the distinct annual pool.</t>
  </si>
  <si>
    <t>Sum of the pool column</t>
  </si>
  <si>
    <t>Ties to the after-timing pool on tab 8. This is the only additive number on this tab.</t>
  </si>
  <si>
    <t>Distinct annual pool, after feasibility and timing</t>
  </si>
  <si>
    <t>Difference</t>
  </si>
  <si>
    <t>Should be zero. Anything else means a lever’s allocation row does not sum to 100%.</t>
  </si>
  <si>
    <t>4.  Pricing is split 55 / 45 between revenue and cost effect, matching the revenue share on 4b.</t>
  </si>
  <si>
    <t>1.  Baselines in the amber column are entries. Replace them with the company’s actual reported figures before quoting anything.</t>
  </si>
  <si>
    <t>ALLOCATION — how each lever’s pool is split across the metrics it moves</t>
  </si>
  <si>
    <t>Each row sums to 100%. Change a weight and the metric pools above move with it. This is what stops a lever being counted twice.</t>
  </si>
  <si>
    <t>CHECK</t>
  </si>
  <si>
    <t>Exit multiple</t>
  </si>
  <si>
    <t>ARR growth — expansion from existing customers plus new logo — is the single largest predictor of where a SaaS company sits in the multiple distribution. The cohort medians below are observed, not modelled.</t>
  </si>
  <si>
    <t>A.  OBSERVED GROWTH COHORTS</t>
  </si>
  <si>
    <t>EV / ARR median</t>
  </si>
  <si>
    <t>band top</t>
  </si>
  <si>
    <t>n</t>
  </si>
  <si>
    <t>Source</t>
  </si>
  <si>
    <t>Under 10%</t>
  </si>
  <si>
    <t>SaaS Capital Index, 30 June 2026.</t>
  </si>
  <si>
    <t>10 to 20%</t>
  </si>
  <si>
    <t>The cohort Contoso sits in today.</t>
  </si>
  <si>
    <t>20 to 30%</t>
  </si>
  <si>
    <t>Only 6 of 58 constituents grew faster than 30% in the year to June 2026.</t>
  </si>
  <si>
    <t>Above 30%</t>
  </si>
  <si>
    <t>High-growth SaaS commands two to three times the multiple of slow-growth peers.</t>
  </si>
  <si>
    <t>B.  WITHIN-BAND MOVEMENT</t>
  </si>
  <si>
    <t>Uplift per 10 points of growth</t>
  </si>
  <si>
    <t>Published range is +1.0x to +1.5x per 10 points. Midpoint used. Applies inside a band; crossing a band uses the cohort step.</t>
  </si>
  <si>
    <t>C.  EXIT MULTIPLE AND ENTERPRISE VALUE</t>
  </si>
  <si>
    <t>Two growth paths. The pool path uses the ARR growth the value pools actually produce. The frontier path assumes the company reaches frontier growth. The gap between them is the honest uncertainty.</t>
  </si>
  <si>
    <t>All growth comes from the value pools on 4b, via ARR growth on 4d. No assumed trajectory.</t>
  </si>
  <si>
    <t>CAPABILITY POSITION</t>
  </si>
  <si>
    <t>ARR GROWTH</t>
  </si>
  <si>
    <t>COHORT</t>
  </si>
  <si>
    <t>MULTIPLE</t>
  </si>
  <si>
    <t>ENTERPRISE VALUE</t>
  </si>
  <si>
    <t>POOL PATH — growth the value pools produce</t>
  </si>
  <si>
    <t>Today</t>
  </si>
  <si>
    <t>Move one level</t>
  </si>
  <si>
    <t>Move two levels</t>
  </si>
  <si>
    <t>At the frontier</t>
  </si>
  <si>
    <t>VALUE FROM THE MULTIPLE, ABOVE TODAY</t>
  </si>
  <si>
    <t xml:space="preserve">  moving one level</t>
  </si>
  <si>
    <t xml:space="preserve">  moving two levels</t>
  </si>
  <si>
    <t xml:space="preserve">  moving as far as the pools reach</t>
  </si>
  <si>
    <t>SOURCES AND LIMITS</t>
  </si>
  <si>
    <t>1.  Cohort medians are observed, not modelled. SaaS Capital Index constituents at 30 June 2026: 5.5x for 20–30% growers (n=11), 3.1x for 10–20% (n=23), 1.9x for under 10% (n=18). 58 constituents in total; only 6 grew faster than 30%.</t>
  </si>
  <si>
    <t>2.  Revenue scale is not the screen. Dispersion in that set runs 0.1x to 63x and trailing growth explains most of it — a sub-10% grower trades near 1.9x whether it books $200M or $2B.</t>
  </si>
  <si>
    <t>3.  Within-band movement uses the published coefficient of roughly +1.0x to +1.5x per 10 points of growth. Midpoint used.</t>
  </si>
  <si>
    <t>4.  ARR growth on 4d is new logo growth plus expansion from NRR above 100%, so all ten value levers reach the multiple.</t>
  </si>
  <si>
    <t>5.  Today’s multiple is the enterprise value on tab 0 divided by the metric set by the basis at entry. It is not predicted.</t>
  </si>
  <si>
    <t>6.  Growth here comes only from the value pools. There is no assumed path to a frontier growth rate — no published data maps a capability level to a growth rate, so any such path would be invented.</t>
  </si>
  <si>
    <t>7.  CONTEXT WORTH CHECKING: Contoso at 13% growth sits at the market median, but its 9.17x is roughly three times the 3.1x cohort median. A comparable PE take-private priced at 7.7x on 17% growth. The enterprise value input on tab 0 has not been tested against comparables.</t>
  </si>
  <si>
    <t>Implementation feasibility</t>
  </si>
  <si>
    <t>Will this company execute? Three factors multiply the value pool once, for the whole company. Two more shift when value arrives rather than how much survives. Anchors are written for vertical SaaS.</t>
  </si>
  <si>
    <t>Capturable pool, before feasibility</t>
  </si>
  <si>
    <t>A.  FACTORS THAT MULTIPLY THE POOL</t>
  </si>
  <si>
    <t>FACTOR</t>
  </si>
  <si>
    <t>WEIGHT</t>
  </si>
  <si>
    <t>YOUR ANSWER</t>
  </si>
  <si>
    <t>VALUE</t>
  </si>
  <si>
    <t>1  Weakest</t>
  </si>
  <si>
    <t>2</t>
  </si>
  <si>
    <t>3</t>
  </si>
  <si>
    <t>4</t>
  </si>
  <si>
    <t>5  Strongest</t>
  </si>
  <si>
    <t>Vendor / technology risk</t>
  </si>
  <si>
    <t>Core product capability rests on one vendor's roadmap; multi-year lock-in with no alternative</t>
  </si>
  <si>
    <t>Deep coupling to one provider's proprietary features; migration would be a project</t>
  </si>
  <si>
    <t>Single provider, standard commercial terms, no deep coupling</t>
  </si>
  <si>
    <t>Primary provider with a tested fallback and an abstraction layer in place</t>
  </si>
  <si>
    <t>Model-agnostic; multiple providers hedged; core capability built in-house. Switching measured in weeks</t>
  </si>
  <si>
    <t>Competitive response speed</t>
  </si>
  <si>
    <t>Category-wide commoditisation; AI capability is table stakes and undifferentiated</t>
  </si>
  <si>
    <t>Competitors ship equivalent features within a release cycle</t>
  </si>
  <si>
    <t>Competitive parity; advantage measured in quarters</t>
  </si>
  <si>
    <t>Meaningful lead; switching costs and integration depth slow competitor gains</t>
  </si>
  <si>
    <t>Data moat competitors cannot replicate without equivalent proprietary data</t>
  </si>
  <si>
    <t>Regulatory exposure</t>
  </si>
  <si>
    <t>Active regulatory uncertainty on the core AI use case; risk of prohibition or material cost in the hold</t>
  </si>
  <si>
    <t>Concentrated in health, finance or defence with binding AI use restrictions</t>
  </si>
  <si>
    <t>Some regulated customers imposing contractual AI restrictions</t>
  </si>
  <si>
    <t>Light obligations (SOC 2, GDPR) with an established compliance posture</t>
  </si>
  <si>
    <t>No regulated customer verticals; no restrictions on AI in product or operations</t>
  </si>
  <si>
    <t>IFS residual multiplier</t>
  </si>
  <si>
    <t>VTR^0.35 x CRS^0.35 x REG^0.30, per Barr Table 7.</t>
  </si>
  <si>
    <t>Pool after feasibility</t>
  </si>
  <si>
    <t>Feasibility haircut</t>
  </si>
  <si>
    <t>B.  FACTORS THAT SHIFT WHEN VALUE ARRIVES</t>
  </si>
  <si>
    <t>Organisational change capacity</t>
  </si>
  <si>
    <t>Fragmented organisation, no change track record, prior initiatives rejected by staff</t>
  </si>
  <si>
    <t>No named sponsor; prior rollouts partially abandoned</t>
  </si>
  <si>
    <t>Sponsor exists, adoption uneven, past changes landed late</t>
  </si>
  <si>
    <t>Strong sponsor and a good adoption record, with some functional resistance</t>
  </si>
  <si>
    <t>Documented prior transformation delivered on schedule; voluntary tool adoption at scale; funded sponsor</t>
  </si>
  <si>
    <t>Data readiness</t>
  </si>
  <si>
    <t>Siloed operational databases; no analytical platform</t>
  </si>
  <si>
    <t>Reporting layer only; no analytical store; frequent disputes over numbers</t>
  </si>
  <si>
    <t>Warehouse exists; identity resolution partly manual; gaps in newer modules</t>
  </si>
  <si>
    <t>Warehouse with good coverage; some manual reconciliation</t>
  </si>
  <si>
    <t>Governed warehouse, resolved identity, contract-tested schemas, production model access</t>
  </si>
  <si>
    <t>Implied delay factor</t>
  </si>
  <si>
    <t>Mirrors the formula tab 7 actually uses: 1 / (change capacity^0.40 x data readiness^0.60). It previously showed 1 / change capacity only, which disagreed with the ramp midpoint on tab 7.</t>
  </si>
  <si>
    <t>Data foundation cross-check</t>
  </si>
  <si>
    <t>SCORE LIBRARY — vertical SaaS</t>
  </si>
  <si>
    <t>1</t>
  </si>
  <si>
    <t>5</t>
  </si>
  <si>
    <t>Residual</t>
  </si>
  <si>
    <t>Trajectory</t>
  </si>
  <si>
    <t>Only vertical SaaS anchors are carried. The IT managed services and cybersecurity libraries have been removed.</t>
  </si>
  <si>
    <t>Implementation cost — one-time, built bottom up</t>
  </si>
  <si>
    <t>Three workstreams you pay for once, plus the annual run rate. Scoped to the value pool the model sizes — see section C for the current figure. A programme costing materially more than the pool cannot be justified by the pool alone.</t>
  </si>
  <si>
    <t>Context — pulled from other tabs</t>
  </si>
  <si>
    <t>Set on 4_Value_Pools.</t>
  </si>
  <si>
    <t>Company revenue</t>
  </si>
  <si>
    <t>A.  INPUTS — the one-time cost is built from these</t>
  </si>
  <si>
    <t>Input</t>
  </si>
  <si>
    <t>Note</t>
  </si>
  <si>
    <t>Total headcount</t>
  </si>
  <si>
    <t>Company headcount. Context only — does not drive cost.</t>
  </si>
  <si>
    <t>Users whose workflow changes</t>
  </si>
  <si>
    <t>Everyone whose way of working changes. Drives the change workstream.</t>
  </si>
  <si>
    <t>Loaded cost per FTE-month</t>
  </si>
  <si>
    <t>Fully burdened: salary, benefits, tax, tools.</t>
  </si>
  <si>
    <t>Data engineers on remediation</t>
  </si>
  <si>
    <t>Headcount on the data workstream.</t>
  </si>
  <si>
    <t>Remediation duration (months)</t>
  </si>
  <si>
    <t>Runs in parallel with the build.</t>
  </si>
  <si>
    <t>Engineers on build and integration</t>
  </si>
  <si>
    <t>Headcount on the build workstream.</t>
  </si>
  <si>
    <t>Build duration (months)</t>
  </si>
  <si>
    <t>Tooling and licences during build</t>
  </si>
  <si>
    <t>Non-people cost across both engineering workstreams.</t>
  </si>
  <si>
    <t>Change cost per affected user</t>
  </si>
  <si>
    <t>Training, enablement, comms, productivity dip, value instrumentation.</t>
  </si>
  <si>
    <t>B.  ONE-TIME COST</t>
  </si>
  <si>
    <t>Workstream</t>
  </si>
  <si>
    <t>Share</t>
  </si>
  <si>
    <t>People</t>
  </si>
  <si>
    <t>Non-people</t>
  </si>
  <si>
    <t>How this number is built</t>
  </si>
  <si>
    <t>Data remediation</t>
  </si>
  <si>
    <t>Engineers x months x loaded cost, plus a share of tooling. Data preparation is where most AI programmes overrun.</t>
  </si>
  <si>
    <t>Build and integration</t>
  </si>
  <si>
    <t>Engineers x months x loaded cost, plus a share of tooling. Integration across ten levers and 36 capabilities.</t>
  </si>
  <si>
    <t>Change and value instrumentation</t>
  </si>
  <si>
    <t>Affected users x cost per user. Includes the instrumentation that lifts Budget Displaced from L2 to L3.</t>
  </si>
  <si>
    <t>TOTAL one-time implementation cost</t>
  </si>
  <si>
    <t>As a percentage of revenue</t>
  </si>
  <si>
    <t>Cost per affected user, all-in</t>
  </si>
  <si>
    <t>Programme duration (longest workstream)</t>
  </si>
  <si>
    <t>C.  BENCHMARK CHECKS</t>
  </si>
  <si>
    <t>This model</t>
  </si>
  <si>
    <t>Published range</t>
  </si>
  <si>
    <t>Verdict</t>
  </si>
  <si>
    <t>Data remediation as a share of one-time cost</t>
  </si>
  <si>
    <t>30% to 50%</t>
  </si>
  <si>
    <t>People as a share of one-time cost</t>
  </si>
  <si>
    <t>40% to 60%</t>
  </si>
  <si>
    <t>Value pool after feasibility, for reference</t>
  </si>
  <si>
    <t>NOT netted here. The pool is an annual run rate of $42.1M after feasibility; annual operating cost is $2.5M. Net operating benefit is roughly $39.6M a year against a $7.5M one-time build — payback inside the first year. The re-rating case is argued separately and is not funded by this program.</t>
  </si>
  <si>
    <t>Method: cost structure follows Barr, D. (2026), arXiv:2603.13278, Eq. 26, which splits capitalisable implementation cost from period expense. This tab covers the one-time leg only. The link from data readiness to remediation cost and from organisational change capacity to enablement cost is ours, not his — the code applies no such link. Component shares cross-checked against independent 2026 AI implementation cost studies.</t>
  </si>
  <si>
    <t>D.  ANNUAL OPERATING COST — the run-rate half of Barr Eq. 26</t>
  </si>
  <si>
    <t>Barr splits cost into capitalisable implementation (C_cap, Section B above) and period expense (C_opex: SaaS fees, training, ongoing inference, monitoring). Sections A-C priced only C_cap. These four lines are annual and recur every year of the hold. NO SOURCED BENCHMARK EXISTS for any of them - the amber cells are zero until you set them from the client's own run-rate estimates. Under US GAAP training and ongoing compute are expensed; under IFRS SaaS fees are generally service expenses.</t>
  </si>
  <si>
    <t>Operating cost line</t>
  </si>
  <si>
    <t>Annual cost</t>
  </si>
  <si>
    <t>% of revenue</t>
  </si>
  <si>
    <t>What it covers</t>
  </si>
  <si>
    <t>Inference and compute</t>
  </si>
  <si>
    <t>Variable cost of running models in production at agentic volume across the installed base.</t>
  </si>
  <si>
    <t>Licensing and platform fees</t>
  </si>
  <si>
    <t>Model access, vendor subscriptions, tooling. Recurring, not one-time.</t>
  </si>
  <si>
    <t>Monitoring and support</t>
  </si>
  <si>
    <t>Reliability, evaluation, incident response, safety review. Roughly 40 FTE.</t>
  </si>
  <si>
    <t>Maintenance and retraining</t>
  </si>
  <si>
    <t>Model drift, re-tuning, pipeline upkeep, prompt and eval maintenance.</t>
  </si>
  <si>
    <t>TOTAL annual operating cost</t>
  </si>
  <si>
    <t>Recurs every year. $2.5M against a $7.5M build is 33% — slightly above the published 15-30% benchmark, which is expected for an agentic platform with production inference volume.</t>
  </si>
  <si>
    <t>Operating cost as a share of one-time cost</t>
  </si>
  <si>
    <t>30.0% — top of the published 15-30% range.</t>
  </si>
  <si>
    <t>Flag</t>
  </si>
  <si>
    <t>E.  NPV OF TOTAL COST OVER THE HOLD — Barr Eq. 26</t>
  </si>
  <si>
    <t>NPV(Cost) = SUM over t of (C_cap,t + C_opex,t) / (1 + WACC)^t. Capitalisable build is placed in year 1; operating cost recurs across every year of the hold. This NPV is what Eq. 31 subtracts from enterprise value created - not the raw one-time figure the workbook used before.</t>
  </si>
  <si>
    <t>Hold period (years)</t>
  </si>
  <si>
    <t>Matches the value window on 7_Value_Timing (60 months = 5 years). Keep the two aligned.</t>
  </si>
  <si>
    <t>WACC</t>
  </si>
  <si>
    <t>PLACEHOLDER. Barr applies WACC as the risk-appropriate discount rate. Use the sponsor's own, not a default.</t>
  </si>
  <si>
    <t>Year</t>
  </si>
  <si>
    <t>C_cap (build)</t>
  </si>
  <si>
    <t>C_opex (run rate)</t>
  </si>
  <si>
    <t>Total</t>
  </si>
  <si>
    <t>Discounted</t>
  </si>
  <si>
    <t>NPV(Cost)</t>
  </si>
  <si>
    <t>Read by 8_Enterprise_Value C36 and C40. Replaces the raw one-time figure.</t>
  </si>
  <si>
    <t>Undiscounted total cost over the hold</t>
  </si>
  <si>
    <t>Cash out over five years, before discounting.</t>
  </si>
  <si>
    <t>F.  CROSS-CHECK AGAINST BARR’S SIMPLIFICATION</t>
  </si>
  <si>
    <t>Barr's cross-industry rate: revenue x 1.2%</t>
  </si>
  <si>
    <t>Barr, Table 22: a uniform 1.2% of revenue implementation rate, adopted for tractability. Published variation: financial services 1.2-1.6%, retail about 3.3%, discrete manufacturing 0.4-0.8%. Compare against C65. If the bottom-up build is far below this, the effort inputs in Section A are almost certainly too small.</t>
  </si>
  <si>
    <t>This model, undiscounted, versus that rate</t>
  </si>
  <si>
    <t>Barr’s 1.2% cross-industry rate implies $18.0M of one-time cost. This build is $7.5M, or 0.42x — light against that mark and worth a second look before IC.</t>
  </si>
  <si>
    <t>Note on Sobol sensitivity</t>
  </si>
  <si>
    <t>Barr's first-order decomposition finds implementation cost explains only about 1% of value-density variance; exit multiple explains 50% and capture rate 44%. So cost error does not reorder companies - but Barr still requires cost assumptions to be explicitly stated and challenged in any investment decision context.</t>
  </si>
  <si>
    <t>G.  COST BY VALUE LEVER</t>
  </si>
  <si>
    <t>The one-time build and the annual operating cost allocated across the ten levers. Default allocation follows each lever’s share of the timed value pool — cost follows value. Override the share column where a lever is known to be cheaper or dearer than its pool implies.</t>
  </si>
  <si>
    <t>CAPS</t>
  </si>
  <si>
    <t>SHARE</t>
  </si>
  <si>
    <t>BUILD
one-time</t>
  </si>
  <si>
    <t>OPERATING
per year</t>
  </si>
  <si>
    <t>FIVE-YEAR
CASH</t>
  </si>
  <si>
    <t>ANNUAL POOL
after timing</t>
  </si>
  <si>
    <t>NET
per year</t>
  </si>
  <si>
    <t>PAYBACK
years</t>
  </si>
  <si>
    <t>VERDICT</t>
  </si>
  <si>
    <t>1.  Allocation follows each lever’s share of the timed pool. It is a default, not an observation — replace column D with a bottom-up estimate where you have one.</t>
  </si>
  <si>
    <t>2.  Capital efficiency carries no pool, so it draws no cost. Nothing is funded against it.</t>
  </si>
  <si>
    <t>3.  Payback is one-time build divided by net annual value. Operating cost is already netted out of the annual figure.</t>
  </si>
  <si>
    <t>4.  Five-year cash is build plus operating across the hold, undiscounted. The NPV block above discounts the total at the WACC in C56.</t>
  </si>
  <si>
    <t>5.  A lever whose operating cost exceeds its pool is flagged. That is a real result, not a modelling error — some levers cost more to run than they return.</t>
  </si>
  <si>
    <t>Value timing — how much of the pool lands inside the window</t>
  </si>
  <si>
    <t>The value pool is an annual run rate once fully ramped. It does not arrive on day one. How fast it arrives is set entirely by two scores from 5_Implementation_Feasibility — organisational change capacity and data readiness. Everything else here is a parameter you can see and change.</t>
  </si>
  <si>
    <t>Context — pulled from 5_Implementation_Feasibility</t>
  </si>
  <si>
    <t>Weighted at 0.40 in the delay formula.</t>
  </si>
  <si>
    <t>Weighted at 0.60 in the delay formula — Barr Eq. 35. Data readiness is the MORE binding constraint on adoption speed (Bloom et al. 2016; Brynjolfsson &amp; Hitt 2000). It is no longer applied as a capture gate on the value pools tab, so it belongs here.</t>
  </si>
  <si>
    <t>Value pool after feasibility (annual run rate)</t>
  </si>
  <si>
    <t>The fully-ramped annual figure. This tab works out how much of it lands in the window.</t>
  </si>
  <si>
    <t>A.  Ramp parameters</t>
  </si>
  <si>
    <t>Parameter</t>
  </si>
  <si>
    <t>Value window (months)</t>
  </si>
  <si>
    <t>Set to the remaining hold, not the original hold — a sponsor three years into a five-year hold has 24 months left, not 60. This is the most sensitive input on the tab.</t>
  </si>
  <si>
    <t>Base ramp midpoint (months)</t>
  </si>
  <si>
    <t>Where a perfectly prepared company reaches half its run rate. Calibrated so the ramp is 96% complete at 36 months.</t>
  </si>
  <si>
    <t>Base ramp steepness (k_base)</t>
  </si>
  <si>
    <t>Barr's k_base. This is now flexed down for unprepared firms in Section B, per Eq. 33.</t>
  </si>
  <si>
    <t>Delay exponents: change capacity / data readiness</t>
  </si>
  <si>
    <t>Barr Eq. 35 exponents. They sum to 1.00. Data carries the heavier weight because it binds harder.</t>
  </si>
  <si>
    <t>B.  Firm-specific timing — Barr Eq. 33, 34 and 35</t>
  </si>
  <si>
    <t>Step</t>
  </si>
  <si>
    <t>Delay factor</t>
  </si>
  <si>
    <t>Barr Eq. 35: 1 / (change capacity^0.40 x data readiness^0.60), with a 0.10 floor on each to prevent division by zero. Previously this used change capacity alone, which left data readiness affecting nothing anywhere in the workbook.</t>
  </si>
  <si>
    <t>This company's ramp midpoint (months)</t>
  </si>
  <si>
    <t>Change-capacity steepness factor</t>
  </si>
  <si>
    <t>Barr Eq. 34: 0.55 + 0.45 x change capacity.</t>
  </si>
  <si>
    <t>Data-readiness steepness factor</t>
  </si>
  <si>
    <t>Barr Eq. 34: 0.50 + 0.50 x data readiness.</t>
  </si>
  <si>
    <t>This company's ramp steepness (k_f)</t>
  </si>
  <si>
    <t>Realised at the start of the window</t>
  </si>
  <si>
    <t>Value already flowing when the program starts. Near zero on a fresh program.</t>
  </si>
  <si>
    <t>Realised at the end of the window</t>
  </si>
  <si>
    <t>Share of the pool captured in the window</t>
  </si>
  <si>
    <t>C.  Ramp curve</t>
  </si>
  <si>
    <t>Value realised in the window (annual run rate)</t>
  </si>
  <si>
    <t>Value lost to slow adoption</t>
  </si>
  <si>
    <t>Well-prepared benchmark</t>
  </si>
  <si>
    <t>Month</t>
  </si>
  <si>
    <t>This company</t>
  </si>
  <si>
    <t>Method: logistic value ramp R(t) = 1 / (1 + exp(-k(t - t50))), with the firm-specific midpoint t50 set by the delay factor 1 / (OCC^0.40 x DR^0.60), per Barr, D. (2026), arXiv:2603.13278, Eq. 35. Only the increment over the window is counted, per his Eq. 27 — using the end-of-window figure alone overstates by 2x to 25x depending on where the firm starts. Departure from the paper: Barr scales the base midpoint from 18 to 60 months with AITG; we fix it at 18 so the ramp is essentially complete at 36 months, which is the window a sponsor actually underwrites. Change the base midpoint in Section A to restore his calibration.</t>
  </si>
  <si>
    <t>Method: logistic value ramp R(t) = 1 / (1 + exp(-k_f (t - t50,f))). Both the midpoint and the steepness are firm-specific, per Barr Eq. 33-35. The midpoint shifts right by 1 / (OCC^0.40 x DR^0.60); the steepness flattens by (0.55 + 0.45 OCC)(0.50 + 0.50 DR). Barr's point is that an unprepared firm does not take a flat haircut — it starts later AND climbs more slowly, and the two compound. Only the increment between the start and end of the window is counted (Eq. 27), because value already flowing at acquisition is priced into the entry multiple. The benchmark column holds both parameters at their base values.</t>
  </si>
  <si>
    <t>D.  Timing basis by capability</t>
  </si>
  <si>
    <t>Not every capability is gated by the same thing. Barr's three-wave cascade (Table 4) times capabilities whose constraint is technology diffusion. A capability whose technology is already in production is not waiting on a wave — it is waiting on something commercial, usually contract renewal. Set the basis per capability in column Y of 4b_Value_Pools_by_Capability.</t>
  </si>
  <si>
    <t>Basis</t>
  </si>
  <si>
    <t>Steepness (base)</t>
  </si>
  <si>
    <t>Midpoint (base, months)</t>
  </si>
  <si>
    <t>What it describes</t>
  </si>
  <si>
    <t>Wave 1</t>
  </si>
  <si>
    <t>Foundation AI. Supervised ML, RPA, structured analytics, BI automation.</t>
  </si>
  <si>
    <t>Wave 2</t>
  </si>
  <si>
    <t>Generative and agentic AI. LLM workflows, copilots, RAG pipelines, agentic task execution.</t>
  </si>
  <si>
    <t>Wave 3</t>
  </si>
  <si>
    <t>Autonomous AI. Multi-agent orchestration, self-improving systems, AI-native products.</t>
  </si>
  <si>
    <t>Renewal</t>
  </si>
  <si>
    <t>Retained for cases where a commercial mechanism genuinely gates delivery. Not used for Contoso — the use cases are gated by build and rollout, which is a Wave 2 problem.</t>
  </si>
  <si>
    <t>Immediate</t>
  </si>
  <si>
    <t>No adoption gate. Value is available now. Used rarely — needs justifying.</t>
  </si>
  <si>
    <t>Contract turnover (months)</t>
  </si>
  <si>
    <t>Full book turnover for the Renewal basis. Three-year terms, evenly staggered, means 36. A concentrated renewal cliff behaves very differently — set this from the client's actual contract schedule.</t>
  </si>
  <si>
    <t>Firm delay factor applied to wave midpoints</t>
  </si>
  <si>
    <t>Barr: t0,w,f = t0,w,base x (t50,f / t50,base). The same delay shifts every wave.</t>
  </si>
  <si>
    <t>Months already on the curve (per capability, column AC on 4b)</t>
  </si>
  <si>
    <t>Barr Eq. 27: the ramp starts from where the firm already is, not from zero. Delta R = R(t+window) - R(t). Value already flowing is in the baseline and must not be counted twice. Set 0 for work not yet started.</t>
  </si>
  <si>
    <t>Enterprise value created</t>
  </si>
  <si>
    <t>Every step from the whole theoretical prize down to the number a sponsor can underwrite. Each line pulls from the tab that produced it, so nothing is retyped. The only input on this tab is the exit multiple — and it is the single largest source of variance in the entire model.</t>
  </si>
  <si>
    <t>A.  The chain, step by step</t>
  </si>
  <si>
    <t>Retained</t>
  </si>
  <si>
    <t>Where it comes from and what it removes</t>
  </si>
  <si>
    <t>Total possible pool (annual)</t>
  </si>
  <si>
    <t>4b_Value_Pools_by_Capability. Revenue x each capability's base and uplift. The whole prize before any haircut.</t>
  </si>
  <si>
    <t>Capturable at current capability</t>
  </si>
  <si>
    <t>4b_Value_Pools_by_Capability. After the capture ceiling, reachability from each capability's own distance, and readiness from its score over its ceiling.</t>
  </si>
  <si>
    <t>After implementation feasibility</t>
  </si>
  <si>
    <t>5_Implementation_Feasibility. Removes vendor risk, competitive response speed and regulatory exposure, combined as a geometric multiplier.</t>
  </si>
  <si>
    <t>After timing</t>
  </si>
  <si>
    <t>Per-capability timing on 4b. Each capability uses the mechanism that actually gates it — a Barr wave where technology adoption is the constraint, contract turnover where it is not.</t>
  </si>
  <si>
    <t>Annual run-rate uplift the sponsor can underwrite</t>
  </si>
  <si>
    <t>This is an annual figure. It becomes enterprise value only when capitalised at an exit multiple.</t>
  </si>
  <si>
    <t>B.  Split the pool: revenue drivers and EBITDA drivers</t>
  </si>
  <si>
    <t>A dollar of recurring revenue and a dollar of cost saved are not worth the same. Revenue carries the ARR multiple; cost saved drops fully to EBITDA and carries the EBITDA multiple. The two shares come from the revenue-share column on 4b, and feasibility and timing are applied to each proportionally.</t>
  </si>
  <si>
    <t>Revenue effect, after feasibility and timing</t>
  </si>
  <si>
    <t>4b column Q. New or retained revenue.</t>
  </si>
  <si>
    <t>Cash EBITDA effect, after feasibility and timing</t>
  </si>
  <si>
    <t>4b column W. Cost effect after cash conversion. Capacity that never reaches EBITDA is excluded.</t>
  </si>
  <si>
    <t>Combined, after feasibility and timing</t>
  </si>
  <si>
    <t>Lower than the adjusted pool at C7 because unconverted capacity is dropped here.</t>
  </si>
  <si>
    <t>C.  Capitalise — the multiple is set by distance to the AI-native frontier</t>
  </si>
  <si>
    <t>Feasibility x timing retention</t>
  </si>
  <si>
    <t>Set to 1 deliberately. C15 and C16 read from 4b rows 50-51, which already multiply by the feasibility factor and by each capability's share landing in the window — they are fully timed. Applying a retention factor here would count feasibility and timing twice. C17 therefore equals C9, the after-timing pool.</t>
  </si>
  <si>
    <t>Revenue effect, underwritable</t>
  </si>
  <si>
    <t>Cash EBITDA effect, underwritable</t>
  </si>
  <si>
    <t>C.  ENTERPRISE VALUE</t>
  </si>
  <si>
    <t>One chain. Closing the capability gap captures the value pool. The pool does two things at once: its revenue half adds to ARR, and the whole of it improves growth, which moves the multiple. Enterprise value is the new ARR times the new multiple. The pool is never capitalised separately — that would count it twice.</t>
  </si>
  <si>
    <t>ARR today</t>
  </si>
  <si>
    <t>Set on tab 0.</t>
  </si>
  <si>
    <t>Multiple today</t>
  </si>
  <si>
    <t>Enterprise value divided by the metric set by the basis at entry.</t>
  </si>
  <si>
    <t>Revenue effect in the pool</t>
  </si>
  <si>
    <t>The part of the pool that adds to ARR, after feasibility and timing.</t>
  </si>
  <si>
    <t>NPV of programme cost</t>
  </si>
  <si>
    <t>Barr Eq. 26.</t>
  </si>
  <si>
    <t>ΔEV</t>
  </si>
  <si>
    <t>ΔEV NET OF COST</t>
  </si>
  <si>
    <t>Stay where you are</t>
  </si>
  <si>
    <t>Close the gap entirely</t>
  </si>
  <si>
    <t>Value density (ΔEV net of cost, per unit of cost)</t>
  </si>
  <si>
    <t>At two levels. Barr Def. 7.1: 2.0x or better is Tier 1, invest.</t>
  </si>
  <si>
    <t>HOW TO READ IT</t>
  </si>
  <si>
    <t>1.  Standing still creates nothing and still costs the NPV of the programme.</t>
  </si>
  <si>
    <t>2.  ARR rises by the revenue half of the pool. The cost half does not add to ARR but does improve margin, which feeds the multiple.</t>
  </si>
  <si>
    <t>3.  The multiple comes from 4m_Exit_Multiple, driven by ARR growth on 4d, which is new logo growth plus expansion. All ten value levers reach it.</t>
  </si>
  <si>
    <t>4.  The pool is not capitalised anywhere. Capitalising it and also letting it move the multiple would count the same money twice.</t>
  </si>
  <si>
    <t>5.  Scale factors of 0.46 and 0.93 for one and two levels come from the maturity term on tab 2. No published data maps a capability level to a growth rate, so this is the weakest link in the chain.</t>
  </si>
  <si>
    <t>6.  The enterprise value on tab 0 has not been tested against comparables. Contoso at 13% growth sits in a cohort with a 3.1x median; its 9.17x is roughly three times that.</t>
  </si>
  <si>
    <t>D.  DISCOUNTED CASH FLOW — intrinsic value of the programme</t>
  </si>
  <si>
    <t>The incremental cash the programme throws off, discounted at WACC. Independent of any multiple, so it is a cross-check on the comps answer above. Cash in each year is the pool times the share of the ramp realised by then, less operating cost, less the build in year one.</t>
  </si>
  <si>
    <t>YEAR</t>
  </si>
  <si>
    <t>RAMP REALISED</t>
  </si>
  <si>
    <t>GROSS CASH</t>
  </si>
  <si>
    <t>LESS OPEX</t>
  </si>
  <si>
    <t>LESS BUILD</t>
  </si>
  <si>
    <t>NET CASH</t>
  </si>
  <si>
    <t>DISCOUNTED</t>
  </si>
  <si>
    <t>0</t>
  </si>
  <si>
    <t>NPV of the explicit five years</t>
  </si>
  <si>
    <t>Sum of the discounted column.</t>
  </si>
  <si>
    <t>Terminal value at the exit multiple</t>
  </si>
  <si>
    <t>Run-rate pool at the two-level multiple, discounted back five years.</t>
  </si>
  <si>
    <t>DCF value of the programme</t>
  </si>
  <si>
    <t>Explicit period plus terminal value. Compare against the comps answer on row 35.</t>
  </si>
  <si>
    <t>E.  LBO FLOOR — what a sponsor could pay</t>
  </si>
  <si>
    <t>Solves for the entry price at which a sponsor still clears its target return, given the exit multiple the model predicts and the EBITDA the programme creates. Not a view of worth — a floor. Where it sits above the market price, the asset is cheap to a financial buyer.</t>
  </si>
  <si>
    <t>ENTER: target gross MOIC</t>
  </si>
  <si>
    <t>Money multiple a sponsor underwrites over the hold. 2.5x on five years is roughly a 20% IRR.</t>
  </si>
  <si>
    <t>ENTER: hold period (years)</t>
  </si>
  <si>
    <t>Matches the value window on tab 7.</t>
  </si>
  <si>
    <t>ENTER: leverage at entry</t>
  </si>
  <si>
    <t>Debt as a share of enterprise value.</t>
  </si>
  <si>
    <t>ARR at exit, two levels</t>
  </si>
  <si>
    <t>From the chain above.</t>
  </si>
  <si>
    <t>Exit multiple, two levels</t>
  </si>
  <si>
    <t>From 4m_Exit_Multiple.</t>
  </si>
  <si>
    <t>Exit enterprise value</t>
  </si>
  <si>
    <t>ARR at exit times the exit multiple.</t>
  </si>
  <si>
    <t>Equity at exit</t>
  </si>
  <si>
    <t>Assumes debt is repaid in line with entry leverage.</t>
  </si>
  <si>
    <t>Maximum equity at entry</t>
  </si>
  <si>
    <t>Exit equity divided by the target money multiple.</t>
  </si>
  <si>
    <t>MAXIMUM ENTRY PRICE</t>
  </si>
  <si>
    <t>Grossed back up for leverage. The floor.</t>
  </si>
  <si>
    <t>Against the enterprise value on tab 0</t>
  </si>
  <si>
    <t>Positive means a sponsor could pay more than the current mark. Negative means the asset is priced above what the return requirement supports.</t>
  </si>
  <si>
    <t>F.  THE RANGE — what each method says</t>
  </si>
  <si>
    <t>No single method is the answer. Where they overlap is the zone a deal gets done.</t>
  </si>
  <si>
    <t>METHOD</t>
  </si>
  <si>
    <t>WHAT IT ANSWERS</t>
  </si>
  <si>
    <t>Trading comps, two levels</t>
  </si>
  <si>
    <t>How the market prices peers at that growth rate. Minority value, no control premium.</t>
  </si>
  <si>
    <t>DCF</t>
  </si>
  <si>
    <t>Intrinsic value of the cash the programme produces, independent of any multiple.</t>
  </si>
  <si>
    <t>LBO floor</t>
  </si>
  <si>
    <t>What a sponsor could pay and still clear its return. A floor, not a view of worth.</t>
  </si>
  <si>
    <t>Precedent transaction</t>
  </si>
  <si>
    <t>Anaplan at 18.1x revenue, March 2022. Embeds a control premium and predates the derating.</t>
  </si>
  <si>
    <t>Current mark, tab 0</t>
  </si>
  <si>
    <t>The figure entered. Untested against any of the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</si>
</sst>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numFmt numFmtId="165" formatCode="0.0%"/>
    <numFmt numFmtId="166" formatCode="0.00\x"/>
    <numFmt numFmtId="167" formatCode="\$#,##0;&quot;($&quot;#,##0\);\-"/>
    <numFmt numFmtId="168" formatCode="\$#,##0.00,,,\B;&quot;($&quot;#,##0.00,,,&quot;B)&quot;"/>
    <numFmt numFmtId="169" formatCode="0.0\x"/>
    <numFmt numFmtId="170" formatCode="0.0"/>
    <numFmt numFmtId="171" formatCode="0.000"/>
    <numFmt numFmtId="172" formatCode="\+0.00%;\-0.00%"/>
    <numFmt numFmtId="173" formatCode="\+0.0%;\-0.0%"/>
  </numFmts>
  <fonts count="72" x14ac:knownFonts="1">
    <font>
      <sz val="11"/>
      <color theme="1"/>
      <name val="Calibri"/>
      <family val="2"/>
      <charset val="1"/>
    </font>
    <font>
      <b/>
      <sz val="22"/>
      <color rgb="FF0A2540"/>
      <name val="Aptos Display"/>
      <charset val="1"/>
    </font>
    <font>
      <sz val="10"/>
      <color rgb="FF697386"/>
      <name val="Aptos"/>
      <charset val="1"/>
    </font>
    <font>
      <b/>
      <sz val="8.5"/>
      <color rgb="FFFF0000"/>
      <name val="Calibri"/>
      <charset val="1"/>
    </font>
    <font>
      <sz val="10"/>
      <color rgb="FF425466"/>
      <name val="Calibri"/>
      <charset val="1"/>
    </font>
    <font>
      <b/>
      <sz val="10"/>
      <color rgb="FF0A2540"/>
      <name val="Calibri"/>
      <charset val="1"/>
    </font>
    <font>
      <i/>
      <sz val="8.5"/>
      <color rgb="FF8898AA"/>
      <name val="Calibri"/>
      <charset val="1"/>
    </font>
    <font>
      <sz val="10"/>
      <color rgb="FF0A2540"/>
      <name val="Calibri"/>
      <charset val="1"/>
    </font>
    <font>
      <b/>
      <sz val="11"/>
      <color rgb="FFFF0000"/>
      <name val="Calibri"/>
      <charset val="1"/>
    </font>
    <font>
      <sz val="10"/>
      <color rgb="FF425466"/>
      <name val="Aptos"/>
      <charset val="1"/>
    </font>
    <font>
      <b/>
      <sz val="10"/>
      <color rgb="FF425466"/>
      <name val="Aptos"/>
      <charset val="1"/>
    </font>
    <font>
      <b/>
      <sz val="11"/>
      <color rgb="FF0A2540"/>
      <name val="Calibri"/>
      <charset val="1"/>
    </font>
    <font>
      <sz val="9"/>
      <color rgb="FF8898AA"/>
      <name val="Calibri"/>
      <charset val="1"/>
    </font>
    <font>
      <b/>
      <sz val="14"/>
      <color rgb="FF0A2540"/>
      <name val="Calibri"/>
      <charset val="1"/>
    </font>
    <font>
      <b/>
      <sz val="14"/>
      <color rgb="FFFF0000"/>
      <name val="Calibri"/>
      <charset val="1"/>
    </font>
    <font>
      <b/>
      <sz val="12"/>
      <color rgb="FFFF0000"/>
      <name val="Calibri"/>
      <charset val="1"/>
    </font>
    <font>
      <i/>
      <sz val="8"/>
      <color rgb="FF8898AA"/>
      <name val="Calibri"/>
      <charset val="1"/>
    </font>
    <font>
      <sz val="9"/>
      <color rgb="FF8A8A8A"/>
      <name val="Calibri"/>
      <charset val="1"/>
    </font>
    <font>
      <b/>
      <sz val="10"/>
      <color rgb="FFFFFFFF"/>
      <name val="Aptos Display"/>
      <charset val="1"/>
    </font>
    <font>
      <b/>
      <sz val="10"/>
      <color rgb="FF0A2540"/>
      <name val="Aptos"/>
      <charset val="1"/>
    </font>
    <font>
      <sz val="9"/>
      <color rgb="FF425466"/>
      <name val="Arial"/>
      <charset val="1"/>
    </font>
    <font>
      <b/>
      <sz val="9"/>
      <color rgb="FFFFFFFF"/>
      <name val="Arial"/>
      <charset val="1"/>
    </font>
    <font>
      <sz val="10"/>
      <color rgb="FF425466"/>
      <name val="Aptos"/>
      <family val="2"/>
      <charset val="1"/>
    </font>
    <font>
      <sz val="10"/>
      <color rgb="FF0A2540"/>
      <name val="Aptos"/>
      <family val="2"/>
      <charset val="1"/>
    </font>
    <font>
      <b/>
      <sz val="9"/>
      <color rgb="FF8898AA"/>
      <name val="Calibri"/>
      <charset val="1"/>
    </font>
    <font>
      <b/>
      <sz val="10"/>
      <color rgb="FFC00000"/>
      <name val="Arial"/>
      <charset val="1"/>
    </font>
    <font>
      <i/>
      <sz val="9"/>
      <color rgb="FF555555"/>
      <name val="Calibri"/>
      <charset val="1"/>
    </font>
    <font>
      <b/>
      <sz val="11"/>
      <color rgb="FF1A1A1A"/>
      <name val="Calibri"/>
      <charset val="1"/>
    </font>
    <font>
      <b/>
      <sz val="10"/>
      <color rgb="FF1A1A1A"/>
      <name val="Calibri"/>
      <charset val="1"/>
    </font>
    <font>
      <sz val="9"/>
      <color rgb="FF1F3864"/>
      <name val="Calibri"/>
      <charset val="1"/>
    </font>
    <font>
      <sz val="10"/>
      <color rgb="FF008000"/>
      <name val="Calibri"/>
      <charset val="1"/>
    </font>
    <font>
      <b/>
      <sz val="10"/>
      <color rgb="FF008000"/>
      <name val="Calibri"/>
      <charset val="1"/>
    </font>
    <font>
      <sz val="10"/>
      <name val="Calibri"/>
      <charset val="1"/>
    </font>
    <font>
      <b/>
      <sz val="10"/>
      <color rgb="FF1F3864"/>
      <name val="Calibri"/>
      <charset val="1"/>
    </font>
    <font>
      <b/>
      <sz val="11"/>
      <color theme="1"/>
      <name val="Calibri"/>
      <family val="2"/>
      <charset val="1"/>
    </font>
    <font>
      <b/>
      <sz val="10"/>
      <name val="Calibri"/>
      <charset val="1"/>
    </font>
    <font>
      <b/>
      <sz val="11"/>
      <color rgb="FF1A1A1A"/>
      <name val="Calibri"/>
      <family val="2"/>
      <charset val="1"/>
    </font>
    <font>
      <b/>
      <sz val="10"/>
      <color rgb="FF0000FF"/>
      <name val="Calibri"/>
      <charset val="1"/>
    </font>
    <font>
      <b/>
      <sz val="11"/>
      <color rgb="FF008000"/>
      <name val="Calibri"/>
      <charset val="1"/>
    </font>
    <font>
      <sz val="9"/>
      <color rgb="FF0A2540"/>
      <name val="Calibri"/>
      <charset val="1"/>
    </font>
    <font>
      <b/>
      <sz val="8"/>
      <color rgb="FF8898AA"/>
      <name val="Calibri"/>
      <charset val="1"/>
    </font>
    <font>
      <sz val="8"/>
      <color rgb="FF425466"/>
      <name val="Calibri"/>
      <charset val="1"/>
    </font>
    <font>
      <sz val="8.5"/>
      <color rgb="FF425466"/>
      <name val="Calibri"/>
      <charset val="1"/>
    </font>
    <font>
      <b/>
      <sz val="8.5"/>
      <color rgb="FF425466"/>
      <name val="Calibri"/>
      <charset val="1"/>
    </font>
    <font>
      <b/>
      <sz val="8.5"/>
      <color rgb="FF0A2540"/>
      <name val="Calibri"/>
      <charset val="1"/>
    </font>
    <font>
      <b/>
      <sz val="8.5"/>
      <color rgb="FFB26B00"/>
      <name val="Calibri"/>
      <charset val="1"/>
    </font>
    <font>
      <b/>
      <sz val="8.5"/>
      <color rgb="FF8898AA"/>
      <name val="Calibri"/>
      <charset val="1"/>
    </font>
    <font>
      <b/>
      <sz val="9"/>
      <color rgb="FF0A2540"/>
      <name val="Calibri"/>
      <charset val="1"/>
    </font>
    <font>
      <b/>
      <sz val="11"/>
      <color rgb="FF0A2540"/>
      <name val="Aptos Display"/>
      <charset val="1"/>
    </font>
    <font>
      <sz val="9"/>
      <color rgb="FF425466"/>
      <name val="Calibri"/>
      <charset val="1"/>
    </font>
    <font>
      <i/>
      <sz val="9"/>
      <color rgb="FF8898AA"/>
      <name val="Calibri"/>
      <charset val="1"/>
    </font>
    <font>
      <b/>
      <sz val="7.5"/>
      <color rgb="FF8898AA"/>
      <name val="Calibri"/>
      <charset val="1"/>
    </font>
    <font>
      <sz val="9"/>
      <color rgb="FFD0D8E0"/>
      <name val="Calibri"/>
      <charset val="1"/>
    </font>
    <font>
      <b/>
      <sz val="15"/>
      <color rgb="FF0A2540"/>
      <name val="Calibri"/>
      <charset val="1"/>
    </font>
    <font>
      <sz val="8"/>
      <color rgb="FFD0D8E0"/>
      <name val="Calibri"/>
      <charset val="1"/>
    </font>
    <font>
      <sz val="10"/>
      <color rgb="FF8898AA"/>
      <name val="Calibri"/>
      <charset val="1"/>
    </font>
    <font>
      <b/>
      <sz val="10"/>
      <color rgb="FFFF0000"/>
      <name val="Calibri"/>
      <charset val="1"/>
    </font>
    <font>
      <sz val="8.5"/>
      <color rgb="FFFF0000"/>
      <name val="Calibri"/>
      <charset val="1"/>
    </font>
    <font>
      <b/>
      <sz val="10"/>
      <color rgb="FF1A1A1A"/>
      <name val="Calibri"/>
      <family val="2"/>
      <charset val="1"/>
    </font>
    <font>
      <i/>
      <sz val="9"/>
      <color rgb="FF555555"/>
      <name val="Calibri"/>
      <family val="2"/>
      <charset val="1"/>
    </font>
    <font>
      <sz val="9"/>
      <color rgb="FF595959"/>
      <name val="Arial"/>
      <charset val="1"/>
    </font>
    <font>
      <sz val="10"/>
      <color rgb="FF1F3864"/>
      <name val="Calibri"/>
      <family val="2"/>
      <charset val="1"/>
    </font>
    <font>
      <b/>
      <sz val="11"/>
      <color rgb="FF000000"/>
      <name val="Calibri"/>
      <family val="2"/>
      <charset val="1"/>
    </font>
    <font>
      <b/>
      <sz val="12"/>
      <color rgb="FFA32D2D"/>
      <name val="Calibri"/>
      <family val="2"/>
      <charset val="1"/>
    </font>
    <font>
      <b/>
      <sz val="10"/>
      <color rgb="FF1F3864"/>
      <name val="Calibri"/>
      <family val="2"/>
      <charset val="1"/>
    </font>
    <font>
      <b/>
      <sz val="13"/>
      <color rgb="FF1F3864"/>
      <name val="Calibri"/>
      <family val="2"/>
      <charset val="1"/>
    </font>
    <font>
      <sz val="10"/>
      <name val="Arial"/>
      <charset val="1"/>
    </font>
    <font>
      <sz val="10"/>
      <color rgb="FF0000FF"/>
      <name val="Arial"/>
      <charset val="1"/>
    </font>
    <font>
      <sz val="10"/>
      <color rgb="FF000000"/>
      <name val="Calibri"/>
      <family val="2"/>
      <charset val="1"/>
    </font>
    <font>
      <b/>
      <sz val="10"/>
      <name val="Arial"/>
      <charset val="1"/>
    </font>
    <font>
      <b/>
      <sz val="12"/>
      <color rgb="FF0A2540"/>
      <name val="Calibri"/>
      <charset val="1"/>
    </font>
    <font>
      <sz val="10"/>
      <color rgb="FFFF0000"/>
      <name val="Calibri"/>
      <charset val="1"/>
    </font>
  </fonts>
  <fills count="14">
    <fill>
      <patternFill patternType="none"/>
    </fill>
    <fill>
      <patternFill patternType="gray125"/>
    </fill>
    <fill>
      <patternFill patternType="solid">
        <fgColor rgb="FFFFFFFF"/>
        <bgColor rgb="FFFAFBFC"/>
      </patternFill>
    </fill>
    <fill>
      <patternFill patternType="solid">
        <fgColor rgb="FFEEF2F7"/>
        <bgColor rgb="FFF2F2F2"/>
      </patternFill>
    </fill>
    <fill>
      <patternFill patternType="solid">
        <fgColor rgb="FFFAFBFC"/>
        <bgColor rgb="FFF7F9FB"/>
      </patternFill>
    </fill>
    <fill>
      <patternFill patternType="solid">
        <fgColor rgb="FFEEECFF"/>
        <bgColor rgb="FFEEF2F7"/>
      </patternFill>
    </fill>
    <fill>
      <patternFill patternType="solid">
        <fgColor rgb="FFF2F2F2"/>
        <bgColor rgb="FFEEF2F7"/>
      </patternFill>
    </fill>
    <fill>
      <patternFill patternType="solid">
        <fgColor rgb="FF0A2540"/>
        <bgColor rgb="FF1F1F1F"/>
      </patternFill>
    </fill>
    <fill>
      <patternFill patternType="solid">
        <fgColor rgb="FFF6F9FC"/>
        <bgColor rgb="FFF7F9FB"/>
      </patternFill>
    </fill>
    <fill>
      <patternFill patternType="solid">
        <fgColor rgb="FFEFEFEF"/>
        <bgColor rgb="FFF2F2F2"/>
      </patternFill>
    </fill>
    <fill>
      <patternFill patternType="solid">
        <fgColor rgb="FFFFFF00"/>
        <bgColor rgb="FFFFF3B0"/>
      </patternFill>
    </fill>
    <fill>
      <patternFill patternType="solid">
        <fgColor rgb="FFFFF3B0"/>
        <bgColor rgb="FFFFE8E8"/>
      </patternFill>
    </fill>
    <fill>
      <patternFill patternType="solid">
        <fgColor rgb="FF1F1F1F"/>
        <bgColor rgb="FF1A1A1A"/>
      </patternFill>
    </fill>
    <fill>
      <patternFill patternType="solid">
        <fgColor rgb="FFF7F9FB"/>
        <bgColor rgb="FFF6F9FC"/>
      </patternFill>
    </fill>
  </fills>
  <borders count="25">
    <border>
      <left/>
      <right/>
      <top/>
      <bottom/>
      <diagonal/>
    </border>
    <border>
      <left/>
      <right/>
      <top/>
      <bottom style="thick">
        <color rgb="FF635BFF"/>
      </bottom>
      <diagonal/>
    </border>
    <border>
      <left/>
      <right/>
      <top/>
      <bottom style="medium">
        <color rgb="FF00D4FF"/>
      </bottom>
      <diagonal/>
    </border>
    <border>
      <left/>
      <right/>
      <top/>
      <bottom style="thin">
        <color rgb="FFE2E8F0"/>
      </bottom>
      <diagonal/>
    </border>
    <border>
      <left style="thin">
        <color rgb="FFBFBFBF"/>
      </left>
      <right style="thin">
        <color rgb="FFBFBFBF"/>
      </right>
      <top style="thin">
        <color rgb="FFBFBFBF"/>
      </top>
      <bottom style="thin">
        <color rgb="FFBFBFBF"/>
      </bottom>
      <diagonal/>
    </border>
    <border>
      <left/>
      <right/>
      <top style="thin">
        <color rgb="FFE2E8F0"/>
      </top>
      <bottom/>
      <diagonal/>
    </border>
    <border>
      <left/>
      <right/>
      <top style="medium">
        <color rgb="FF0A2540"/>
      </top>
      <bottom style="thin">
        <color rgb="FFE2E8F0"/>
      </bottom>
      <diagonal/>
    </border>
    <border>
      <left/>
      <right/>
      <top/>
      <bottom style="medium">
        <color rgb="FF1A1A1A"/>
      </bottom>
      <diagonal/>
    </border>
    <border>
      <left/>
      <right/>
      <top/>
      <bottom style="medium">
        <color rgb="FF635BFF"/>
      </bottom>
      <diagonal/>
    </border>
    <border>
      <left/>
      <right/>
      <top/>
      <bottom style="thin">
        <color rgb="FFD8DEE8"/>
      </bottom>
      <diagonal/>
    </border>
    <border>
      <left style="medium">
        <color rgb="FF635BFF"/>
      </left>
      <right style="medium">
        <color rgb="FF635BFF"/>
      </right>
      <top style="medium">
        <color rgb="FF635BFF"/>
      </top>
      <bottom style="medium">
        <color rgb="FF635BF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top/>
      <bottom style="medium">
        <color rgb="FF0A2540"/>
      </bottom>
      <diagonal/>
    </border>
    <border>
      <left style="medium">
        <color rgb="FF0A2540"/>
      </left>
      <right style="medium">
        <color rgb="FF0A2540"/>
      </right>
      <top style="thin">
        <color rgb="FFE2E8F0"/>
      </top>
      <bottom style="thin">
        <color rgb="FFE2E8F0"/>
      </bottom>
      <diagonal/>
    </border>
    <border>
      <left style="thin">
        <color rgb="FFE2E8F0"/>
      </left>
      <right style="thin">
        <color rgb="FFE2E8F0"/>
      </right>
      <top/>
      <bottom style="thin">
        <color rgb="FFE2E8F0"/>
      </bottom>
      <diagonal/>
    </border>
    <border>
      <left style="medium">
        <color rgb="FF0A2540"/>
      </left>
      <right/>
      <top/>
      <bottom style="thin">
        <color rgb="FFE2E8F0"/>
      </bottom>
      <diagonal/>
    </border>
    <border>
      <left/>
      <right/>
      <top style="medium">
        <color rgb="FF0A2540"/>
      </top>
      <bottom/>
      <diagonal/>
    </border>
    <border>
      <left style="medium">
        <color rgb="FF0A2540"/>
      </left>
      <right/>
      <top style="medium">
        <color rgb="FF0A2540"/>
      </top>
      <bottom/>
      <diagonal/>
    </border>
    <border>
      <left style="medium">
        <color rgb="FF6B5BD6"/>
      </left>
      <right style="medium">
        <color rgb="FF6B5BD6"/>
      </right>
      <top style="thin">
        <color rgb="FFE2E8F0"/>
      </top>
      <bottom style="thin">
        <color rgb="FFE2E8F0"/>
      </bottom>
      <diagonal/>
    </border>
    <border>
      <left style="thin">
        <color rgb="FFD0D0D0"/>
      </left>
      <right style="thin">
        <color rgb="FFD0D0D0"/>
      </right>
      <top style="thin">
        <color rgb="FFD0D0D0"/>
      </top>
      <bottom style="thin">
        <color rgb="FF1A1A1A"/>
      </bottom>
      <diagonal/>
    </border>
    <border>
      <left/>
      <right style="thin">
        <color rgb="FFBFBFBF"/>
      </right>
      <top/>
      <bottom style="thin">
        <color rgb="FFBFBFBF"/>
      </bottom>
      <diagonal/>
    </border>
  </borders>
  <cellStyleXfs count="1">
    <xf numFmtId="0" fontId="0" fillId="0" borderId="0"/>
  </cellStyleXfs>
  <cellXfs count="514">
    <xf numFmtId="0" fontId="0" fillId="0" borderId="0" xfId="0"/>
    <xf numFmtId="0" fontId="48" fillId="3" borderId="2" xfId="0" applyFont="1" applyFill="1" applyBorder="1" applyAlignment="1">
      <alignment vertical="center" wrapText="1"/>
    </xf>
    <xf numFmtId="0" fontId="1" fillId="2" borderId="1" xfId="0" applyFont="1" applyFill="1" applyBorder="1" applyAlignment="1">
      <alignment vertical="center" wrapText="1"/>
    </xf>
    <xf numFmtId="0" fontId="9" fillId="0" borderId="0" xfId="0" applyFont="1" applyAlignment="1">
      <alignment vertical="center" wrapText="1"/>
    </xf>
    <xf numFmtId="0" fontId="2" fillId="2" borderId="0" xfId="0" applyFont="1" applyFill="1" applyAlignment="1">
      <alignment vertical="top" wrapText="1"/>
    </xf>
    <xf numFmtId="0" fontId="0" fillId="3" borderId="2" xfId="0" applyFill="1" applyBorder="1" applyAlignment="1">
      <alignment vertical="center" wrapText="1"/>
    </xf>
    <xf numFmtId="0" fontId="3" fillId="3" borderId="2" xfId="0" applyFont="1" applyFill="1" applyBorder="1" applyAlignment="1">
      <alignment vertical="center" wrapText="1"/>
    </xf>
    <xf numFmtId="0" fontId="4" fillId="4" borderId="3" xfId="0" applyFont="1" applyFill="1" applyBorder="1" applyAlignment="1">
      <alignment vertical="center" wrapText="1"/>
    </xf>
    <xf numFmtId="0" fontId="5" fillId="5" borderId="3" xfId="0" applyFont="1" applyFill="1" applyBorder="1" applyAlignment="1">
      <alignment horizontal="center"/>
    </xf>
    <xf numFmtId="0" fontId="0" fillId="0" borderId="3" xfId="0" applyBorder="1"/>
    <xf numFmtId="0" fontId="6" fillId="4" borderId="3" xfId="0" applyFont="1" applyFill="1" applyBorder="1" applyAlignment="1">
      <alignment vertical="center" wrapText="1"/>
    </xf>
    <xf numFmtId="0" fontId="4" fillId="0" borderId="3" xfId="0" applyFont="1" applyBorder="1" applyAlignment="1">
      <alignment vertical="center" wrapText="1"/>
    </xf>
    <xf numFmtId="164" fontId="5" fillId="5" borderId="3" xfId="0" applyNumberFormat="1" applyFont="1" applyFill="1" applyBorder="1" applyAlignment="1">
      <alignment horizontal="right"/>
    </xf>
    <xf numFmtId="0" fontId="6" fillId="0" borderId="3" xfId="0" applyFont="1" applyBorder="1" applyAlignment="1">
      <alignment vertical="center" wrapText="1"/>
    </xf>
    <xf numFmtId="164" fontId="7" fillId="0" borderId="3" xfId="0" applyNumberFormat="1" applyFont="1" applyBorder="1" applyAlignment="1">
      <alignment horizontal="right"/>
    </xf>
    <xf numFmtId="0" fontId="4" fillId="0" borderId="3" xfId="0" applyFont="1" applyBorder="1"/>
    <xf numFmtId="165" fontId="5" fillId="5" borderId="3" xfId="0" applyNumberFormat="1" applyFont="1" applyFill="1" applyBorder="1" applyAlignment="1">
      <alignment horizontal="right"/>
    </xf>
    <xf numFmtId="0" fontId="5" fillId="3" borderId="3" xfId="0" applyFont="1" applyFill="1" applyBorder="1" applyAlignment="1">
      <alignment vertical="center" wrapText="1"/>
    </xf>
    <xf numFmtId="164" fontId="5" fillId="3" borderId="3" xfId="0" applyNumberFormat="1" applyFont="1" applyFill="1" applyBorder="1" applyAlignment="1">
      <alignment horizontal="right"/>
    </xf>
    <xf numFmtId="0" fontId="0" fillId="3" borderId="3" xfId="0" applyFill="1" applyBorder="1" applyAlignment="1">
      <alignment vertical="center" wrapText="1"/>
    </xf>
    <xf numFmtId="0" fontId="6" fillId="3" borderId="3" xfId="0" applyFont="1" applyFill="1" applyBorder="1" applyAlignment="1">
      <alignment vertical="center" wrapText="1"/>
    </xf>
    <xf numFmtId="0" fontId="5" fillId="4" borderId="3" xfId="0" applyFont="1" applyFill="1" applyBorder="1" applyAlignment="1">
      <alignment vertical="center" wrapText="1"/>
    </xf>
    <xf numFmtId="166" fontId="8" fillId="4" borderId="3" xfId="0" applyNumberFormat="1" applyFont="1" applyFill="1" applyBorder="1" applyAlignment="1">
      <alignment horizontal="right"/>
    </xf>
    <xf numFmtId="0" fontId="7" fillId="0" borderId="3" xfId="0" applyFont="1" applyBorder="1" applyAlignment="1">
      <alignment horizontal="right"/>
    </xf>
    <xf numFmtId="0" fontId="7" fillId="4" borderId="3" xfId="0" applyFont="1" applyFill="1" applyBorder="1" applyAlignment="1">
      <alignment horizontal="right"/>
    </xf>
    <xf numFmtId="2" fontId="9" fillId="0" borderId="4" xfId="0" applyNumberFormat="1" applyFont="1" applyBorder="1" applyAlignment="1">
      <alignment horizontal="right" vertical="center" wrapText="1"/>
    </xf>
    <xf numFmtId="0" fontId="3" fillId="4" borderId="0" xfId="0" applyFont="1" applyFill="1" applyAlignment="1">
      <alignment vertical="center" wrapText="1"/>
    </xf>
    <xf numFmtId="0" fontId="10" fillId="4" borderId="4" xfId="0" applyFont="1" applyFill="1" applyBorder="1" applyAlignment="1">
      <alignment horizontal="right" vertical="center" wrapText="1"/>
    </xf>
    <xf numFmtId="0" fontId="9" fillId="4" borderId="0" xfId="0" applyFont="1" applyFill="1" applyAlignment="1">
      <alignment vertical="center" wrapText="1"/>
    </xf>
    <xf numFmtId="0" fontId="11" fillId="3" borderId="2" xfId="0" applyFont="1" applyFill="1" applyBorder="1" applyAlignment="1">
      <alignment vertical="center" wrapText="1"/>
    </xf>
    <xf numFmtId="0" fontId="6" fillId="0" borderId="0" xfId="0" applyFont="1" applyAlignment="1">
      <alignment vertical="top" wrapText="1"/>
    </xf>
    <xf numFmtId="167" fontId="10" fillId="0" borderId="4" xfId="0" applyNumberFormat="1" applyFont="1" applyBorder="1" applyAlignment="1">
      <alignment horizontal="right" vertical="center" wrapText="1"/>
    </xf>
    <xf numFmtId="167" fontId="9" fillId="4" borderId="4" xfId="0" applyNumberFormat="1" applyFont="1" applyFill="1" applyBorder="1" applyAlignment="1">
      <alignment horizontal="right" vertical="center" wrapText="1"/>
    </xf>
    <xf numFmtId="0" fontId="6" fillId="4" borderId="0" xfId="0" applyFont="1" applyFill="1" applyAlignment="1">
      <alignment vertical="center" wrapText="1"/>
    </xf>
    <xf numFmtId="0" fontId="5" fillId="0" borderId="3" xfId="0" applyFont="1" applyBorder="1" applyAlignment="1">
      <alignment vertical="center" wrapText="1"/>
    </xf>
    <xf numFmtId="3" fontId="5" fillId="0" borderId="3" xfId="0" applyNumberFormat="1" applyFont="1" applyBorder="1" applyAlignment="1">
      <alignment horizontal="right"/>
    </xf>
    <xf numFmtId="0" fontId="7" fillId="4" borderId="3" xfId="0" applyFont="1" applyFill="1" applyBorder="1" applyAlignment="1">
      <alignment vertical="center" wrapText="1"/>
    </xf>
    <xf numFmtId="3" fontId="7" fillId="4" borderId="3" xfId="0" applyNumberFormat="1" applyFont="1" applyFill="1" applyBorder="1" applyAlignment="1">
      <alignment horizontal="right"/>
    </xf>
    <xf numFmtId="0" fontId="10" fillId="4" borderId="3" xfId="0" applyFont="1" applyFill="1" applyBorder="1" applyAlignment="1">
      <alignment vertical="center" wrapText="1"/>
    </xf>
    <xf numFmtId="0" fontId="7" fillId="0" borderId="3" xfId="0" applyFont="1" applyBorder="1" applyAlignment="1">
      <alignment vertical="center" wrapText="1"/>
    </xf>
    <xf numFmtId="3" fontId="7" fillId="0" borderId="3" xfId="0" applyNumberFormat="1" applyFont="1" applyBorder="1" applyAlignment="1">
      <alignment horizontal="right"/>
    </xf>
    <xf numFmtId="0" fontId="9" fillId="0" borderId="3" xfId="0" applyFont="1" applyBorder="1" applyAlignment="1">
      <alignment horizontal="center" vertical="center" wrapText="1"/>
    </xf>
    <xf numFmtId="0" fontId="12" fillId="0" borderId="0" xfId="0" applyFont="1" applyAlignment="1">
      <alignment horizontal="center" wrapText="1"/>
    </xf>
    <xf numFmtId="0" fontId="9" fillId="0" borderId="0" xfId="0" applyFont="1" applyAlignment="1">
      <alignment horizontal="center" vertical="center" wrapText="1"/>
    </xf>
    <xf numFmtId="0" fontId="7" fillId="0" borderId="3" xfId="0" applyFont="1" applyBorder="1"/>
    <xf numFmtId="168" fontId="10" fillId="4" borderId="3" xfId="0" applyNumberFormat="1" applyFont="1" applyFill="1" applyBorder="1" applyAlignment="1">
      <alignment horizontal="center" vertical="center" wrapText="1"/>
    </xf>
    <xf numFmtId="168" fontId="13" fillId="0" borderId="5" xfId="0" applyNumberFormat="1" applyFont="1" applyBorder="1" applyAlignment="1">
      <alignment horizontal="center"/>
    </xf>
    <xf numFmtId="168" fontId="10" fillId="4" borderId="5" xfId="0" applyNumberFormat="1" applyFont="1" applyFill="1" applyBorder="1" applyAlignment="1">
      <alignment horizontal="center" vertical="center" wrapText="1"/>
    </xf>
    <xf numFmtId="168" fontId="14" fillId="0" borderId="5" xfId="0" applyNumberFormat="1" applyFont="1" applyBorder="1" applyAlignment="1">
      <alignment horizontal="center"/>
    </xf>
    <xf numFmtId="0" fontId="5" fillId="0" borderId="6" xfId="0" applyFont="1" applyBorder="1"/>
    <xf numFmtId="3" fontId="15" fillId="6" borderId="6" xfId="0" applyNumberFormat="1" applyFont="1" applyFill="1" applyBorder="1" applyAlignment="1">
      <alignment horizontal="right"/>
    </xf>
    <xf numFmtId="0" fontId="0" fillId="0" borderId="6" xfId="0" applyBorder="1"/>
    <xf numFmtId="0" fontId="6" fillId="0" borderId="6" xfId="0" applyFont="1" applyBorder="1" applyAlignment="1">
      <alignment vertical="center" wrapText="1"/>
    </xf>
    <xf numFmtId="0" fontId="10" fillId="4" borderId="0" xfId="0" applyFont="1" applyFill="1" applyAlignment="1">
      <alignment vertical="center" wrapText="1"/>
    </xf>
    <xf numFmtId="167" fontId="10" fillId="4" borderId="4" xfId="0" applyNumberFormat="1" applyFont="1" applyFill="1" applyBorder="1" applyAlignment="1">
      <alignment horizontal="right" vertical="center" wrapText="1"/>
    </xf>
    <xf numFmtId="165" fontId="5" fillId="0" borderId="3" xfId="0" applyNumberFormat="1" applyFont="1" applyBorder="1" applyAlignment="1">
      <alignment horizontal="right"/>
    </xf>
    <xf numFmtId="0" fontId="9" fillId="0" borderId="3" xfId="0" applyFont="1" applyBorder="1" applyAlignment="1">
      <alignment vertical="center" wrapText="1"/>
    </xf>
    <xf numFmtId="169" fontId="5" fillId="4" borderId="3" xfId="0" applyNumberFormat="1" applyFont="1" applyFill="1" applyBorder="1" applyAlignment="1">
      <alignment horizontal="right"/>
    </xf>
    <xf numFmtId="0" fontId="9" fillId="4" borderId="3" xfId="0" applyFont="1" applyFill="1" applyBorder="1" applyAlignment="1">
      <alignment vertical="center" wrapText="1"/>
    </xf>
    <xf numFmtId="0" fontId="5" fillId="0" borderId="3" xfId="0" applyFont="1" applyBorder="1" applyAlignment="1">
      <alignment horizontal="right"/>
    </xf>
    <xf numFmtId="0" fontId="10" fillId="0" borderId="7" xfId="0" applyFont="1" applyBorder="1" applyAlignment="1">
      <alignment vertical="center" wrapText="1"/>
    </xf>
    <xf numFmtId="0" fontId="0" fillId="0" borderId="7" xfId="0" applyBorder="1"/>
    <xf numFmtId="167" fontId="9" fillId="0" borderId="4" xfId="0" applyNumberFormat="1" applyFont="1" applyBorder="1" applyAlignment="1">
      <alignment horizontal="right" vertical="center" wrapText="1"/>
    </xf>
    <xf numFmtId="0" fontId="10" fillId="0" borderId="4" xfId="0" applyFont="1" applyBorder="1" applyAlignment="1">
      <alignment vertical="center" wrapText="1"/>
    </xf>
    <xf numFmtId="0" fontId="10" fillId="0" borderId="0" xfId="0" applyFont="1" applyAlignment="1">
      <alignment vertical="center" wrapText="1"/>
    </xf>
    <xf numFmtId="0" fontId="16" fillId="0" borderId="0" xfId="0" applyFont="1"/>
    <xf numFmtId="167" fontId="9" fillId="4" borderId="0" xfId="0" applyNumberFormat="1" applyFont="1" applyFill="1" applyAlignment="1">
      <alignment horizontal="right" vertical="center" wrapText="1"/>
    </xf>
    <xf numFmtId="167" fontId="9" fillId="4" borderId="0" xfId="0" applyNumberFormat="1" applyFont="1" applyFill="1" applyAlignment="1">
      <alignment vertical="center" wrapText="1"/>
    </xf>
    <xf numFmtId="167" fontId="9" fillId="0" borderId="0" xfId="0" applyNumberFormat="1" applyFont="1" applyAlignment="1">
      <alignment vertical="center" wrapText="1"/>
    </xf>
    <xf numFmtId="0" fontId="17" fillId="0" borderId="0" xfId="0" applyFont="1"/>
    <xf numFmtId="167" fontId="0" fillId="0" borderId="0" xfId="0" applyNumberFormat="1"/>
    <xf numFmtId="167" fontId="0" fillId="0" borderId="0" xfId="0" applyNumberFormat="1" applyAlignment="1">
      <alignment horizontal="right"/>
    </xf>
    <xf numFmtId="0" fontId="16" fillId="0" borderId="0" xfId="0" applyFont="1" applyAlignment="1">
      <alignment vertical="top" wrapText="1"/>
    </xf>
    <xf numFmtId="0" fontId="18" fillId="7" borderId="8" xfId="0" applyFont="1" applyFill="1" applyBorder="1" applyAlignment="1">
      <alignment vertical="center" wrapText="1"/>
    </xf>
    <xf numFmtId="0" fontId="10" fillId="4" borderId="4" xfId="0" applyFont="1" applyFill="1" applyBorder="1" applyAlignment="1">
      <alignment vertical="center" wrapText="1"/>
    </xf>
    <xf numFmtId="0" fontId="9" fillId="4" borderId="4" xfId="0" applyFont="1" applyFill="1" applyBorder="1" applyAlignment="1">
      <alignment vertical="center" wrapText="1"/>
    </xf>
    <xf numFmtId="0" fontId="10" fillId="8" borderId="9" xfId="0" applyFont="1" applyFill="1" applyBorder="1" applyAlignment="1">
      <alignment vertical="center" wrapText="1"/>
    </xf>
    <xf numFmtId="0" fontId="9" fillId="8" borderId="9" xfId="0" applyFont="1" applyFill="1" applyBorder="1" applyAlignment="1">
      <alignment vertical="center" wrapText="1"/>
    </xf>
    <xf numFmtId="0" fontId="18" fillId="7" borderId="8" xfId="0" applyFont="1" applyFill="1" applyBorder="1" applyAlignment="1">
      <alignment horizontal="left" vertical="center" wrapText="1"/>
    </xf>
    <xf numFmtId="0" fontId="9" fillId="0" borderId="4" xfId="0" applyFont="1" applyBorder="1" applyAlignment="1">
      <alignment vertical="center" wrapText="1"/>
    </xf>
    <xf numFmtId="170" fontId="19" fillId="5" borderId="10" xfId="0" applyNumberFormat="1" applyFont="1" applyFill="1" applyBorder="1" applyAlignment="1">
      <alignment horizontal="center" vertical="center" wrapText="1"/>
    </xf>
    <xf numFmtId="0" fontId="0" fillId="9" borderId="4" xfId="0" applyFill="1" applyBorder="1"/>
    <xf numFmtId="2" fontId="10" fillId="8" borderId="9" xfId="0" applyNumberFormat="1" applyFont="1" applyFill="1" applyBorder="1" applyAlignment="1">
      <alignment horizontal="center" vertical="center" wrapText="1"/>
    </xf>
    <xf numFmtId="0" fontId="20" fillId="0" borderId="0" xfId="0" applyFont="1" applyAlignment="1">
      <alignment vertical="top" wrapText="1"/>
    </xf>
    <xf numFmtId="0" fontId="21" fillId="0" borderId="0" xfId="0" applyFont="1" applyAlignment="1">
      <alignment horizontal="left" vertical="center" wrapText="1"/>
    </xf>
    <xf numFmtId="0" fontId="18" fillId="7" borderId="0" xfId="0" applyFont="1" applyFill="1" applyAlignment="1">
      <alignment horizontal="left" vertical="center" wrapText="1"/>
    </xf>
    <xf numFmtId="0" fontId="22" fillId="0" borderId="11" xfId="0" applyFont="1" applyBorder="1" applyAlignment="1">
      <alignment vertical="center" wrapText="1"/>
    </xf>
    <xf numFmtId="2" fontId="22" fillId="0" borderId="11" xfId="0" applyNumberFormat="1" applyFont="1" applyBorder="1" applyAlignment="1">
      <alignment vertical="center" wrapText="1"/>
    </xf>
    <xf numFmtId="2" fontId="22" fillId="0" borderId="12" xfId="0" applyNumberFormat="1" applyFont="1" applyBorder="1" applyAlignment="1">
      <alignment vertical="center" wrapText="1"/>
    </xf>
    <xf numFmtId="2" fontId="22" fillId="0" borderId="14" xfId="0" applyNumberFormat="1" applyFont="1" applyBorder="1" applyAlignment="1">
      <alignment vertical="center" wrapText="1"/>
    </xf>
    <xf numFmtId="0" fontId="22" fillId="0" borderId="15" xfId="0" applyFont="1" applyBorder="1" applyAlignment="1">
      <alignment vertical="center" wrapText="1"/>
    </xf>
    <xf numFmtId="0" fontId="22" fillId="0" borderId="12" xfId="0" applyFont="1" applyBorder="1" applyAlignment="1">
      <alignment vertical="center" wrapText="1"/>
    </xf>
    <xf numFmtId="0" fontId="22" fillId="0" borderId="14" xfId="0" applyFont="1" applyBorder="1" applyAlignment="1">
      <alignment vertical="center" wrapText="1"/>
    </xf>
    <xf numFmtId="9" fontId="23" fillId="0" borderId="11" xfId="0" applyNumberFormat="1" applyFont="1" applyBorder="1" applyAlignment="1">
      <alignment vertical="center" wrapText="1"/>
    </xf>
    <xf numFmtId="9" fontId="23" fillId="0" borderId="12" xfId="0" applyNumberFormat="1" applyFont="1" applyBorder="1" applyAlignment="1">
      <alignment vertical="center" wrapText="1"/>
    </xf>
    <xf numFmtId="9" fontId="23" fillId="0" borderId="15" xfId="0" applyNumberFormat="1" applyFont="1" applyBorder="1" applyAlignment="1">
      <alignment vertical="center" wrapText="1"/>
    </xf>
    <xf numFmtId="9" fontId="7" fillId="10" borderId="3" xfId="0" applyNumberFormat="1" applyFont="1" applyFill="1" applyBorder="1" applyAlignment="1">
      <alignment horizontal="center"/>
    </xf>
    <xf numFmtId="0" fontId="10" fillId="0" borderId="3" xfId="0" applyFont="1" applyBorder="1" applyAlignment="1">
      <alignment vertical="center" wrapText="1"/>
    </xf>
    <xf numFmtId="0" fontId="10" fillId="0" borderId="16" xfId="0" applyFont="1" applyBorder="1" applyAlignment="1">
      <alignment vertical="center" wrapText="1"/>
    </xf>
    <xf numFmtId="0" fontId="24" fillId="0" borderId="0" xfId="0" applyFont="1"/>
    <xf numFmtId="9" fontId="9" fillId="4" borderId="3" xfId="0" applyNumberFormat="1" applyFont="1" applyFill="1" applyBorder="1" applyAlignment="1">
      <alignment horizontal="center" vertical="center" wrapText="1"/>
    </xf>
    <xf numFmtId="2" fontId="0" fillId="0" borderId="0" xfId="0" applyNumberFormat="1"/>
    <xf numFmtId="9" fontId="9" fillId="0" borderId="3" xfId="0" applyNumberFormat="1" applyFont="1" applyBorder="1" applyAlignment="1">
      <alignment horizontal="center" vertical="center" wrapText="1"/>
    </xf>
    <xf numFmtId="0" fontId="0" fillId="0" borderId="0" xfId="0" applyAlignment="1">
      <alignment horizontal="center"/>
    </xf>
    <xf numFmtId="0" fontId="10" fillId="0" borderId="16" xfId="0" applyFont="1" applyBorder="1" applyAlignment="1">
      <alignment horizontal="left" vertical="center" wrapText="1"/>
    </xf>
    <xf numFmtId="0" fontId="10" fillId="0" borderId="16" xfId="0" applyFont="1" applyBorder="1" applyAlignment="1">
      <alignment horizontal="center" vertical="center" wrapText="1"/>
    </xf>
    <xf numFmtId="0" fontId="10" fillId="4" borderId="3" xfId="0" applyFont="1" applyFill="1" applyBorder="1" applyAlignment="1">
      <alignment horizontal="center" vertical="center" wrapText="1"/>
    </xf>
    <xf numFmtId="0" fontId="11" fillId="11" borderId="17" xfId="0" applyFont="1" applyFill="1" applyBorder="1" applyAlignment="1">
      <alignment horizontal="center" vertical="center"/>
    </xf>
    <xf numFmtId="170" fontId="9" fillId="4" borderId="3" xfId="0" applyNumberFormat="1" applyFont="1" applyFill="1" applyBorder="1" applyAlignment="1">
      <alignment horizontal="center" vertical="center" wrapText="1"/>
    </xf>
    <xf numFmtId="2" fontId="9" fillId="4" borderId="3" xfId="0" applyNumberFormat="1" applyFont="1" applyFill="1" applyBorder="1" applyAlignment="1">
      <alignment vertical="center" wrapText="1"/>
    </xf>
    <xf numFmtId="171" fontId="9" fillId="4" borderId="3" xfId="0" applyNumberFormat="1" applyFont="1" applyFill="1" applyBorder="1" applyAlignment="1">
      <alignment vertical="center" wrapText="1"/>
    </xf>
    <xf numFmtId="0" fontId="10" fillId="0" borderId="3" xfId="0" applyFont="1" applyBorder="1" applyAlignment="1">
      <alignment horizontal="center" vertical="center" wrapText="1"/>
    </xf>
    <xf numFmtId="170" fontId="9" fillId="0" borderId="3" xfId="0" applyNumberFormat="1" applyFont="1" applyBorder="1" applyAlignment="1">
      <alignment horizontal="center" vertical="center" wrapText="1"/>
    </xf>
    <xf numFmtId="2" fontId="9" fillId="0" borderId="3" xfId="0" applyNumberFormat="1" applyFont="1" applyBorder="1" applyAlignment="1">
      <alignment vertical="center" wrapText="1"/>
    </xf>
    <xf numFmtId="171" fontId="9" fillId="0" borderId="3" xfId="0" applyNumberFormat="1" applyFont="1" applyBorder="1" applyAlignment="1">
      <alignment vertical="center" wrapText="1"/>
    </xf>
    <xf numFmtId="2" fontId="10" fillId="4" borderId="3" xfId="0" applyNumberFormat="1" applyFont="1" applyFill="1" applyBorder="1" applyAlignment="1">
      <alignment horizontal="center" vertical="center" wrapText="1"/>
    </xf>
    <xf numFmtId="2" fontId="9" fillId="4" borderId="3" xfId="0" applyNumberFormat="1" applyFont="1" applyFill="1" applyBorder="1" applyAlignment="1">
      <alignment horizontal="center" vertical="center" wrapText="1"/>
    </xf>
    <xf numFmtId="1" fontId="9" fillId="4" borderId="3" xfId="0" applyNumberFormat="1" applyFont="1" applyFill="1" applyBorder="1" applyAlignment="1">
      <alignment horizontal="center" vertical="center" wrapText="1"/>
    </xf>
    <xf numFmtId="2" fontId="10" fillId="0" borderId="3" xfId="0" applyNumberFormat="1" applyFont="1" applyBorder="1" applyAlignment="1">
      <alignment horizontal="center" vertical="center" wrapText="1"/>
    </xf>
    <xf numFmtId="2" fontId="9"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170" fontId="9" fillId="4" borderId="3" xfId="0" applyNumberFormat="1" applyFont="1" applyFill="1" applyBorder="1" applyAlignment="1">
      <alignment vertical="center" wrapText="1"/>
    </xf>
    <xf numFmtId="170" fontId="9" fillId="0" borderId="3" xfId="0" applyNumberFormat="1" applyFont="1" applyBorder="1" applyAlignment="1">
      <alignment vertical="center" wrapText="1"/>
    </xf>
    <xf numFmtId="2" fontId="19" fillId="5" borderId="10" xfId="0" applyNumberFormat="1" applyFont="1" applyFill="1" applyBorder="1" applyAlignment="1">
      <alignment horizontal="center" vertical="center" wrapText="1"/>
    </xf>
    <xf numFmtId="171" fontId="9" fillId="4" borderId="3" xfId="0" applyNumberFormat="1" applyFont="1" applyFill="1" applyBorder="1" applyAlignment="1">
      <alignment horizontal="center" vertical="center" wrapText="1"/>
    </xf>
    <xf numFmtId="171" fontId="9" fillId="0" borderId="3" xfId="0" applyNumberFormat="1" applyFont="1" applyBorder="1" applyAlignment="1">
      <alignment horizontal="center" vertical="center" wrapText="1"/>
    </xf>
    <xf numFmtId="171" fontId="10" fillId="0" borderId="0" xfId="0" applyNumberFormat="1" applyFont="1" applyAlignment="1">
      <alignment horizontal="center" vertical="center" wrapText="1"/>
    </xf>
    <xf numFmtId="0" fontId="10" fillId="4" borderId="16" xfId="0" applyFont="1" applyFill="1" applyBorder="1" applyAlignment="1">
      <alignment horizontal="left" vertical="center" wrapText="1"/>
    </xf>
    <xf numFmtId="0" fontId="10" fillId="4" borderId="16" xfId="0" applyFont="1" applyFill="1" applyBorder="1" applyAlignment="1">
      <alignment horizontal="center" vertical="center" wrapText="1"/>
    </xf>
    <xf numFmtId="170" fontId="10" fillId="0" borderId="18" xfId="0" applyNumberFormat="1" applyFont="1" applyBorder="1" applyAlignment="1">
      <alignment horizontal="center" vertical="center" wrapText="1"/>
    </xf>
    <xf numFmtId="170" fontId="10" fillId="0" borderId="19" xfId="0" applyNumberFormat="1" applyFont="1" applyBorder="1" applyAlignment="1">
      <alignment horizontal="center" vertical="center" wrapText="1"/>
    </xf>
    <xf numFmtId="170" fontId="10" fillId="4" borderId="18" xfId="0" applyNumberFormat="1" applyFont="1" applyFill="1" applyBorder="1" applyAlignment="1">
      <alignment horizontal="center" vertical="center" wrapText="1"/>
    </xf>
    <xf numFmtId="170" fontId="10" fillId="4" borderId="19" xfId="0" applyNumberFormat="1" applyFont="1" applyFill="1" applyBorder="1" applyAlignment="1">
      <alignment horizontal="center" vertical="center" wrapText="1"/>
    </xf>
    <xf numFmtId="0" fontId="10" fillId="0" borderId="20" xfId="0" applyFont="1" applyBorder="1" applyAlignment="1">
      <alignment vertical="center" wrapText="1"/>
    </xf>
    <xf numFmtId="170" fontId="10" fillId="0" borderId="20" xfId="0" applyNumberFormat="1" applyFont="1" applyBorder="1" applyAlignment="1">
      <alignment horizontal="center" vertical="center" wrapText="1"/>
    </xf>
    <xf numFmtId="170" fontId="10" fillId="0" borderId="21" xfId="0" applyNumberFormat="1" applyFont="1" applyBorder="1" applyAlignment="1">
      <alignment horizontal="center" vertical="center" wrapText="1"/>
    </xf>
    <xf numFmtId="0" fontId="25" fillId="0" borderId="0" xfId="0" applyFont="1" applyAlignment="1">
      <alignment vertical="top" wrapText="1"/>
    </xf>
    <xf numFmtId="0" fontId="26" fillId="0" borderId="0" xfId="0" applyFont="1" applyAlignment="1">
      <alignment vertical="top" wrapText="1"/>
    </xf>
    <xf numFmtId="0" fontId="27" fillId="0" borderId="0" xfId="0" applyFont="1"/>
    <xf numFmtId="0" fontId="18" fillId="7" borderId="8" xfId="0" applyFont="1" applyFill="1" applyBorder="1" applyAlignment="1">
      <alignment horizontal="center" vertical="center" wrapText="1"/>
    </xf>
    <xf numFmtId="9" fontId="10" fillId="4" borderId="3" xfId="0" applyNumberFormat="1" applyFont="1" applyFill="1" applyBorder="1" applyAlignment="1">
      <alignment horizontal="center" vertical="center" wrapText="1"/>
    </xf>
    <xf numFmtId="165" fontId="7" fillId="0" borderId="4" xfId="0" applyNumberFormat="1" applyFont="1" applyBorder="1" applyAlignment="1">
      <alignment horizontal="center"/>
    </xf>
    <xf numFmtId="171" fontId="7" fillId="0" borderId="4" xfId="0" applyNumberFormat="1" applyFont="1" applyBorder="1" applyAlignment="1">
      <alignment horizontal="center"/>
    </xf>
    <xf numFmtId="3" fontId="7" fillId="0" borderId="4" xfId="0" applyNumberFormat="1" applyFont="1" applyBorder="1" applyAlignment="1">
      <alignment horizontal="right"/>
    </xf>
    <xf numFmtId="2" fontId="9" fillId="8" borderId="9" xfId="0" applyNumberFormat="1" applyFont="1" applyFill="1" applyBorder="1" applyAlignment="1">
      <alignment horizontal="center" vertical="center" wrapText="1"/>
    </xf>
    <xf numFmtId="9" fontId="10" fillId="8" borderId="9" xfId="0" applyNumberFormat="1" applyFont="1" applyFill="1" applyBorder="1" applyAlignment="1">
      <alignment horizontal="center" vertical="center" wrapText="1"/>
    </xf>
    <xf numFmtId="165" fontId="7" fillId="8" borderId="4" xfId="0" applyNumberFormat="1" applyFont="1" applyFill="1" applyBorder="1" applyAlignment="1">
      <alignment horizontal="center"/>
    </xf>
    <xf numFmtId="171" fontId="7" fillId="8" borderId="4" xfId="0" applyNumberFormat="1" applyFont="1" applyFill="1" applyBorder="1" applyAlignment="1">
      <alignment horizontal="center"/>
    </xf>
    <xf numFmtId="3" fontId="7" fillId="8" borderId="4" xfId="0" applyNumberFormat="1" applyFont="1" applyFill="1" applyBorder="1" applyAlignment="1">
      <alignment horizontal="right"/>
    </xf>
    <xf numFmtId="165" fontId="7" fillId="9" borderId="4" xfId="0" applyNumberFormat="1" applyFont="1" applyFill="1" applyBorder="1" applyAlignment="1">
      <alignment horizontal="center"/>
    </xf>
    <xf numFmtId="171" fontId="7" fillId="9" borderId="4" xfId="0" applyNumberFormat="1" applyFont="1" applyFill="1" applyBorder="1" applyAlignment="1">
      <alignment horizontal="center"/>
    </xf>
    <xf numFmtId="3" fontId="7" fillId="9" borderId="4" xfId="0" applyNumberFormat="1" applyFont="1" applyFill="1" applyBorder="1" applyAlignment="1">
      <alignment horizontal="right"/>
    </xf>
    <xf numFmtId="9" fontId="10" fillId="0" borderId="3" xfId="0" applyNumberFormat="1" applyFont="1" applyBorder="1" applyAlignment="1">
      <alignment horizontal="center" vertical="center" wrapText="1"/>
    </xf>
    <xf numFmtId="165" fontId="7" fillId="0" borderId="0" xfId="0" applyNumberFormat="1" applyFont="1" applyAlignment="1">
      <alignment horizontal="center"/>
    </xf>
    <xf numFmtId="171" fontId="7" fillId="0" borderId="0" xfId="0" applyNumberFormat="1" applyFont="1" applyAlignment="1">
      <alignment horizontal="center"/>
    </xf>
    <xf numFmtId="3" fontId="7" fillId="0" borderId="0" xfId="0" applyNumberFormat="1" applyFont="1" applyAlignment="1">
      <alignment horizontal="right"/>
    </xf>
    <xf numFmtId="0" fontId="28" fillId="0" borderId="0" xfId="0" applyFont="1" applyAlignment="1">
      <alignment vertical="center" wrapText="1"/>
    </xf>
    <xf numFmtId="0" fontId="29" fillId="0" borderId="0" xfId="0" applyFont="1"/>
    <xf numFmtId="2" fontId="10" fillId="0" borderId="0" xfId="0" applyNumberFormat="1" applyFont="1" applyAlignment="1">
      <alignment horizontal="center" vertical="center" wrapText="1"/>
    </xf>
    <xf numFmtId="2" fontId="30" fillId="0" borderId="0" xfId="0" applyNumberFormat="1" applyFont="1" applyAlignment="1">
      <alignment horizontal="center"/>
    </xf>
    <xf numFmtId="2" fontId="31" fillId="0" borderId="0" xfId="0" applyNumberFormat="1" applyFont="1" applyAlignment="1">
      <alignment horizontal="center"/>
    </xf>
    <xf numFmtId="165" fontId="32" fillId="0" borderId="0" xfId="0" applyNumberFormat="1" applyFont="1" applyAlignment="1">
      <alignment horizontal="center"/>
    </xf>
    <xf numFmtId="0" fontId="26" fillId="0" borderId="0" xfId="0" applyFont="1" applyAlignment="1">
      <alignment vertical="center" wrapText="1"/>
    </xf>
    <xf numFmtId="0" fontId="21" fillId="12" borderId="4" xfId="0" applyFont="1" applyFill="1" applyBorder="1"/>
    <xf numFmtId="2" fontId="21" fillId="12" borderId="4" xfId="0" applyNumberFormat="1" applyFont="1" applyFill="1" applyBorder="1" applyAlignment="1">
      <alignment horizontal="center"/>
    </xf>
    <xf numFmtId="165" fontId="21" fillId="12" borderId="4" xfId="0" applyNumberFormat="1" applyFont="1" applyFill="1" applyBorder="1" applyAlignment="1">
      <alignment horizontal="center"/>
    </xf>
    <xf numFmtId="0" fontId="7" fillId="0" borderId="4" xfId="0" applyFont="1" applyBorder="1"/>
    <xf numFmtId="2" fontId="30" fillId="0" borderId="4" xfId="0" applyNumberFormat="1" applyFont="1" applyBorder="1" applyAlignment="1">
      <alignment horizontal="center"/>
    </xf>
    <xf numFmtId="165" fontId="31" fillId="0" borderId="4" xfId="0" applyNumberFormat="1" applyFont="1" applyBorder="1" applyAlignment="1">
      <alignment horizontal="center"/>
    </xf>
    <xf numFmtId="165" fontId="25" fillId="0" borderId="4" xfId="0" applyNumberFormat="1" applyFont="1" applyBorder="1" applyAlignment="1">
      <alignment horizontal="center"/>
    </xf>
    <xf numFmtId="0" fontId="7" fillId="4" borderId="4" xfId="0" applyFont="1" applyFill="1" applyBorder="1" applyAlignment="1">
      <alignment vertical="center" wrapText="1"/>
    </xf>
    <xf numFmtId="2" fontId="9" fillId="4" borderId="4" xfId="0" applyNumberFormat="1" applyFont="1" applyFill="1" applyBorder="1" applyAlignment="1">
      <alignment horizontal="center" vertical="center" wrapText="1"/>
    </xf>
    <xf numFmtId="165" fontId="10" fillId="4" borderId="4" xfId="0" applyNumberFormat="1" applyFont="1" applyFill="1" applyBorder="1" applyAlignment="1">
      <alignment horizontal="center" vertical="center" wrapText="1"/>
    </xf>
    <xf numFmtId="165" fontId="19" fillId="5" borderId="10" xfId="0" applyNumberFormat="1" applyFont="1" applyFill="1" applyBorder="1" applyAlignment="1">
      <alignment horizontal="center" vertical="center" wrapText="1"/>
    </xf>
    <xf numFmtId="0" fontId="33" fillId="0" borderId="0" xfId="0" applyFont="1"/>
    <xf numFmtId="0" fontId="32" fillId="0" borderId="0" xfId="0" applyFont="1" applyAlignment="1">
      <alignment horizontal="center"/>
    </xf>
    <xf numFmtId="0" fontId="34" fillId="0" borderId="0" xfId="0" applyFont="1"/>
    <xf numFmtId="2" fontId="35" fillId="0" borderId="0" xfId="0" applyNumberFormat="1" applyFont="1" applyAlignment="1">
      <alignment horizontal="center"/>
    </xf>
    <xf numFmtId="165" fontId="35" fillId="0" borderId="0" xfId="0" applyNumberFormat="1" applyFont="1" applyAlignment="1">
      <alignment horizontal="center"/>
    </xf>
    <xf numFmtId="0" fontId="36" fillId="0" borderId="0" xfId="0" applyFont="1"/>
    <xf numFmtId="2" fontId="37" fillId="0" borderId="0" xfId="0" applyNumberFormat="1" applyFont="1" applyAlignment="1">
      <alignment horizontal="center"/>
    </xf>
    <xf numFmtId="0" fontId="26" fillId="0" borderId="0" xfId="0" applyFont="1"/>
    <xf numFmtId="2" fontId="32" fillId="0" borderId="0" xfId="0" applyNumberFormat="1" applyFont="1" applyAlignment="1">
      <alignment horizontal="center"/>
    </xf>
    <xf numFmtId="2" fontId="38" fillId="0" borderId="0" xfId="0" applyNumberFormat="1" applyFont="1" applyAlignment="1">
      <alignment horizontal="center"/>
    </xf>
    <xf numFmtId="0" fontId="33" fillId="0" borderId="0" xfId="0" applyFont="1" applyAlignment="1">
      <alignment horizontal="left"/>
    </xf>
    <xf numFmtId="165" fontId="38" fillId="0" borderId="0" xfId="0" applyNumberFormat="1" applyFont="1" applyAlignment="1">
      <alignment horizontal="center"/>
    </xf>
    <xf numFmtId="3" fontId="38" fillId="0" borderId="0" xfId="0" applyNumberFormat="1" applyFont="1" applyAlignment="1">
      <alignment horizontal="center"/>
    </xf>
    <xf numFmtId="0" fontId="3" fillId="0" borderId="0" xfId="0" applyFont="1"/>
    <xf numFmtId="0" fontId="4" fillId="0" borderId="0" xfId="0" applyFont="1" applyAlignment="1">
      <alignment vertical="center"/>
    </xf>
    <xf numFmtId="0" fontId="0" fillId="0" borderId="0" xfId="0" applyAlignment="1">
      <alignment vertical="center" wrapText="1"/>
    </xf>
    <xf numFmtId="0" fontId="5" fillId="5" borderId="22" xfId="0" applyFont="1" applyFill="1" applyBorder="1" applyAlignment="1">
      <alignment horizontal="right" vertical="center"/>
    </xf>
    <xf numFmtId="0" fontId="6" fillId="0" borderId="0" xfId="0" applyFont="1" applyAlignment="1">
      <alignment vertical="center" wrapText="1"/>
    </xf>
    <xf numFmtId="0" fontId="4" fillId="4" borderId="0" xfId="0" applyFont="1" applyFill="1" applyAlignment="1">
      <alignment vertical="center"/>
    </xf>
    <xf numFmtId="0" fontId="0" fillId="4" borderId="0" xfId="0" applyFill="1"/>
    <xf numFmtId="164" fontId="5" fillId="5" borderId="22" xfId="0" applyNumberFormat="1" applyFont="1" applyFill="1" applyBorder="1" applyAlignment="1">
      <alignment horizontal="right" vertical="center"/>
    </xf>
    <xf numFmtId="0" fontId="3" fillId="4" borderId="0" xfId="0" applyFont="1" applyFill="1"/>
    <xf numFmtId="0" fontId="39" fillId="0" borderId="0" xfId="0" applyFont="1" applyAlignment="1">
      <alignment vertical="center" wrapText="1"/>
    </xf>
    <xf numFmtId="165" fontId="5" fillId="0" borderId="0" xfId="0" applyNumberFormat="1" applyFont="1" applyAlignment="1">
      <alignment horizontal="center"/>
    </xf>
    <xf numFmtId="0" fontId="16" fillId="0" borderId="0" xfId="0" applyFont="1" applyAlignment="1">
      <alignment vertical="center" wrapText="1"/>
    </xf>
    <xf numFmtId="2" fontId="5" fillId="5" borderId="22" xfId="0" applyNumberFormat="1" applyFont="1" applyFill="1" applyBorder="1" applyAlignment="1">
      <alignment horizontal="right" vertical="center"/>
    </xf>
    <xf numFmtId="0" fontId="39" fillId="4" borderId="0" xfId="0" applyFont="1" applyFill="1" applyAlignment="1">
      <alignment vertical="center" wrapText="1"/>
    </xf>
    <xf numFmtId="165" fontId="5" fillId="4" borderId="0" xfId="0" applyNumberFormat="1" applyFont="1" applyFill="1" applyAlignment="1">
      <alignment horizontal="center"/>
    </xf>
    <xf numFmtId="0" fontId="16" fillId="4" borderId="0" xfId="0" applyFont="1" applyFill="1" applyAlignment="1">
      <alignment vertical="center" wrapText="1"/>
    </xf>
    <xf numFmtId="171" fontId="4" fillId="0" borderId="0" xfId="0" applyNumberFormat="1" applyFont="1" applyAlignment="1">
      <alignment horizontal="right" vertical="center"/>
    </xf>
    <xf numFmtId="165" fontId="4" fillId="0" borderId="0" xfId="0" applyNumberFormat="1" applyFont="1" applyAlignment="1">
      <alignment horizontal="right" vertical="center"/>
    </xf>
    <xf numFmtId="165" fontId="5" fillId="5" borderId="22" xfId="0" applyNumberFormat="1" applyFont="1" applyFill="1" applyBorder="1" applyAlignment="1">
      <alignment horizontal="right" vertical="center"/>
    </xf>
    <xf numFmtId="165" fontId="9" fillId="0" borderId="0" xfId="0" applyNumberFormat="1" applyFont="1" applyAlignment="1">
      <alignment horizontal="right" vertical="center" wrapText="1"/>
    </xf>
    <xf numFmtId="0" fontId="40" fillId="4" borderId="16" xfId="0" applyFont="1" applyFill="1" applyBorder="1" applyAlignment="1">
      <alignment horizontal="center" wrapText="1"/>
    </xf>
    <xf numFmtId="0" fontId="40" fillId="4" borderId="16" xfId="0" applyFont="1" applyFill="1" applyBorder="1" applyAlignment="1">
      <alignment horizontal="left" wrapText="1"/>
    </xf>
    <xf numFmtId="0" fontId="40" fillId="0" borderId="16" xfId="0" applyFont="1" applyBorder="1" applyAlignment="1">
      <alignment wrapText="1"/>
    </xf>
    <xf numFmtId="0" fontId="5" fillId="13" borderId="3" xfId="0" applyFont="1" applyFill="1" applyBorder="1" applyAlignment="1">
      <alignment vertical="center" wrapText="1"/>
    </xf>
    <xf numFmtId="165" fontId="9" fillId="13" borderId="3" xfId="0" applyNumberFormat="1" applyFont="1" applyFill="1" applyBorder="1" applyAlignment="1">
      <alignment horizontal="center" vertical="center"/>
    </xf>
    <xf numFmtId="3" fontId="7" fillId="13" borderId="3" xfId="0" applyNumberFormat="1" applyFont="1" applyFill="1" applyBorder="1" applyAlignment="1">
      <alignment vertical="center" wrapText="1"/>
    </xf>
    <xf numFmtId="0" fontId="41" fillId="13" borderId="3" xfId="0" applyFont="1" applyFill="1" applyBorder="1" applyAlignment="1">
      <alignment vertical="center" wrapText="1"/>
    </xf>
    <xf numFmtId="0" fontId="42" fillId="13" borderId="3" xfId="0" applyFont="1" applyFill="1" applyBorder="1" applyAlignment="1">
      <alignment vertical="center" wrapText="1"/>
    </xf>
    <xf numFmtId="0" fontId="0" fillId="13" borderId="3" xfId="0" applyFill="1" applyBorder="1"/>
    <xf numFmtId="2" fontId="9" fillId="13" borderId="3" xfId="0" applyNumberFormat="1" applyFont="1" applyFill="1" applyBorder="1" applyAlignment="1">
      <alignment horizontal="center" vertical="center"/>
    </xf>
    <xf numFmtId="171" fontId="9" fillId="13" borderId="3" xfId="0" applyNumberFormat="1" applyFont="1" applyFill="1" applyBorder="1" applyAlignment="1">
      <alignment horizontal="center" vertical="center"/>
    </xf>
    <xf numFmtId="3" fontId="5" fillId="13" borderId="3" xfId="0" applyNumberFormat="1" applyFont="1" applyFill="1" applyBorder="1" applyAlignment="1">
      <alignment vertical="center" wrapText="1"/>
    </xf>
    <xf numFmtId="9" fontId="9" fillId="13" borderId="3" xfId="0" applyNumberFormat="1" applyFont="1" applyFill="1" applyBorder="1" applyAlignment="1">
      <alignment horizontal="center" vertical="center"/>
    </xf>
    <xf numFmtId="3" fontId="9" fillId="13" borderId="3" xfId="0" applyNumberFormat="1" applyFont="1" applyFill="1" applyBorder="1" applyAlignment="1">
      <alignment vertical="center" wrapText="1"/>
    </xf>
    <xf numFmtId="2" fontId="9" fillId="13" borderId="3" xfId="0" applyNumberFormat="1" applyFont="1" applyFill="1" applyBorder="1" applyAlignment="1">
      <alignment vertical="center" wrapText="1"/>
    </xf>
    <xf numFmtId="171" fontId="9" fillId="13" borderId="3" xfId="0" applyNumberFormat="1" applyFont="1" applyFill="1" applyBorder="1" applyAlignment="1">
      <alignment vertical="center" wrapText="1"/>
    </xf>
    <xf numFmtId="0" fontId="41" fillId="0" borderId="3" xfId="0" applyFont="1" applyBorder="1" applyAlignment="1">
      <alignment vertical="center" wrapText="1"/>
    </xf>
    <xf numFmtId="0" fontId="43" fillId="0" borderId="3" xfId="0" applyFont="1" applyBorder="1" applyAlignment="1">
      <alignment horizontal="center" vertical="center"/>
    </xf>
    <xf numFmtId="0" fontId="44" fillId="0" borderId="3" xfId="0" applyFont="1" applyBorder="1" applyAlignment="1">
      <alignment horizontal="center" vertical="center"/>
    </xf>
    <xf numFmtId="165" fontId="9" fillId="4" borderId="3" xfId="0" applyNumberFormat="1" applyFont="1" applyFill="1" applyBorder="1" applyAlignment="1">
      <alignment horizontal="center" vertical="center"/>
    </xf>
    <xf numFmtId="165" fontId="9" fillId="4" borderId="3" xfId="0" applyNumberFormat="1" applyFont="1" applyFill="1" applyBorder="1" applyAlignment="1">
      <alignment horizontal="center" vertical="center" wrapText="1"/>
    </xf>
    <xf numFmtId="3" fontId="9" fillId="4" borderId="3" xfId="0" applyNumberFormat="1" applyFont="1" applyFill="1" applyBorder="1" applyAlignment="1">
      <alignment vertical="center" wrapText="1"/>
    </xf>
    <xf numFmtId="0" fontId="42" fillId="4" borderId="3" xfId="0" applyFont="1" applyFill="1" applyBorder="1" applyAlignment="1">
      <alignment vertical="center" wrapText="1"/>
    </xf>
    <xf numFmtId="3" fontId="10" fillId="4" borderId="3" xfId="0" applyNumberFormat="1" applyFont="1" applyFill="1" applyBorder="1" applyAlignment="1">
      <alignment vertical="center" wrapText="1"/>
    </xf>
    <xf numFmtId="165" fontId="9" fillId="8" borderId="9" xfId="0" applyNumberFormat="1" applyFont="1" applyFill="1" applyBorder="1" applyAlignment="1">
      <alignment horizontal="center" vertical="center" wrapText="1"/>
    </xf>
    <xf numFmtId="3" fontId="9" fillId="8" borderId="9" xfId="0" applyNumberFormat="1" applyFont="1" applyFill="1" applyBorder="1" applyAlignment="1">
      <alignment vertical="center" wrapText="1"/>
    </xf>
    <xf numFmtId="0" fontId="42" fillId="8" borderId="9" xfId="0" applyFont="1" applyFill="1" applyBorder="1" applyAlignment="1">
      <alignment vertical="center" wrapText="1"/>
    </xf>
    <xf numFmtId="171" fontId="9" fillId="8" borderId="9" xfId="0" applyNumberFormat="1" applyFont="1" applyFill="1" applyBorder="1" applyAlignment="1">
      <alignment horizontal="center" vertical="center" wrapText="1"/>
    </xf>
    <xf numFmtId="3" fontId="10" fillId="8" borderId="9" xfId="0" applyNumberFormat="1" applyFont="1" applyFill="1" applyBorder="1" applyAlignment="1">
      <alignment vertical="center" wrapText="1"/>
    </xf>
    <xf numFmtId="9" fontId="9" fillId="8" borderId="9" xfId="0" applyNumberFormat="1" applyFont="1" applyFill="1" applyBorder="1" applyAlignment="1">
      <alignment horizontal="center" vertical="center" wrapText="1"/>
    </xf>
    <xf numFmtId="2" fontId="9" fillId="8" borderId="9" xfId="0" applyNumberFormat="1" applyFont="1" applyFill="1" applyBorder="1" applyAlignment="1">
      <alignment vertical="center" wrapText="1"/>
    </xf>
    <xf numFmtId="171" fontId="9" fillId="8" borderId="9" xfId="0" applyNumberFormat="1" applyFont="1" applyFill="1" applyBorder="1" applyAlignment="1">
      <alignment vertical="center" wrapText="1"/>
    </xf>
    <xf numFmtId="0" fontId="3" fillId="0" borderId="3" xfId="0" applyFont="1" applyBorder="1" applyAlignment="1">
      <alignment horizontal="center" vertical="center"/>
    </xf>
    <xf numFmtId="0" fontId="45" fillId="0" borderId="3" xfId="0" applyFont="1" applyBorder="1" applyAlignment="1">
      <alignment horizontal="center" vertical="center"/>
    </xf>
    <xf numFmtId="0" fontId="46" fillId="0" borderId="3" xfId="0" applyFont="1" applyBorder="1" applyAlignment="1">
      <alignment horizontal="center" vertical="center"/>
    </xf>
    <xf numFmtId="3" fontId="10" fillId="0" borderId="20" xfId="0" applyNumberFormat="1" applyFont="1" applyBorder="1" applyAlignment="1">
      <alignment vertical="center" wrapText="1"/>
    </xf>
    <xf numFmtId="3" fontId="10" fillId="0" borderId="3" xfId="0" applyNumberFormat="1" applyFont="1" applyBorder="1" applyAlignment="1">
      <alignment horizontal="right" vertical="center" wrapText="1"/>
    </xf>
    <xf numFmtId="165" fontId="10" fillId="0" borderId="3" xfId="0" applyNumberFormat="1" applyFont="1" applyBorder="1" applyAlignment="1">
      <alignment horizontal="right" vertical="center" wrapText="1"/>
    </xf>
    <xf numFmtId="0" fontId="10" fillId="0" borderId="3" xfId="0" applyFont="1" applyBorder="1" applyAlignment="1">
      <alignment horizontal="right" vertical="center" wrapText="1"/>
    </xf>
    <xf numFmtId="171" fontId="10" fillId="0" borderId="3" xfId="0" applyNumberFormat="1" applyFont="1" applyBorder="1" applyAlignment="1">
      <alignment horizontal="right" vertical="center" wrapText="1"/>
    </xf>
    <xf numFmtId="0" fontId="10" fillId="8" borderId="9" xfId="0" applyFont="1" applyFill="1" applyBorder="1" applyAlignment="1">
      <alignment horizontal="center" vertical="center" wrapText="1"/>
    </xf>
    <xf numFmtId="0" fontId="3" fillId="4" borderId="3" xfId="0" applyFont="1" applyFill="1" applyBorder="1" applyAlignment="1">
      <alignment vertical="center" wrapText="1"/>
    </xf>
    <xf numFmtId="0" fontId="47" fillId="13" borderId="3" xfId="0" applyFont="1" applyFill="1" applyBorder="1"/>
    <xf numFmtId="0" fontId="42" fillId="0" borderId="3" xfId="0" applyFont="1" applyBorder="1" applyAlignment="1">
      <alignment vertical="top" wrapText="1"/>
    </xf>
    <xf numFmtId="0" fontId="47" fillId="8" borderId="9" xfId="0" applyFont="1" applyFill="1" applyBorder="1" applyAlignment="1">
      <alignment vertical="center" wrapText="1"/>
    </xf>
    <xf numFmtId="0" fontId="42" fillId="4" borderId="3" xfId="0" applyFont="1" applyFill="1" applyBorder="1" applyAlignment="1">
      <alignment vertical="top" wrapText="1"/>
    </xf>
    <xf numFmtId="164" fontId="19" fillId="5" borderId="10" xfId="0" applyNumberFormat="1" applyFont="1" applyFill="1" applyBorder="1" applyAlignment="1">
      <alignment horizontal="right" vertical="center" wrapText="1"/>
    </xf>
    <xf numFmtId="164" fontId="10" fillId="0" borderId="0" xfId="0" applyNumberFormat="1" applyFont="1" applyAlignment="1">
      <alignment horizontal="right" vertical="center" wrapText="1"/>
    </xf>
    <xf numFmtId="0" fontId="5" fillId="8" borderId="9" xfId="0" applyFont="1" applyFill="1" applyBorder="1" applyAlignment="1">
      <alignment vertical="center" wrapText="1"/>
    </xf>
    <xf numFmtId="172" fontId="10" fillId="8" borderId="9" xfId="0" applyNumberFormat="1" applyFont="1" applyFill="1" applyBorder="1" applyAlignment="1">
      <alignment horizontal="center" vertical="center" wrapText="1"/>
    </xf>
    <xf numFmtId="165" fontId="10" fillId="8" borderId="9" xfId="0" applyNumberFormat="1" applyFont="1" applyFill="1" applyBorder="1" applyAlignment="1">
      <alignment horizontal="center" vertical="center" wrapText="1"/>
    </xf>
    <xf numFmtId="3" fontId="9" fillId="8" borderId="9" xfId="0" applyNumberFormat="1" applyFont="1" applyFill="1" applyBorder="1" applyAlignment="1">
      <alignment horizontal="right" vertical="center" wrapText="1"/>
    </xf>
    <xf numFmtId="9" fontId="49" fillId="8" borderId="3" xfId="0" applyNumberFormat="1" applyFont="1" applyFill="1" applyBorder="1" applyAlignment="1">
      <alignment horizontal="center" vertical="center"/>
    </xf>
    <xf numFmtId="172" fontId="10" fillId="4" borderId="3" xfId="0" applyNumberFormat="1" applyFont="1" applyFill="1" applyBorder="1" applyAlignment="1">
      <alignment horizontal="center" vertical="center" wrapText="1"/>
    </xf>
    <xf numFmtId="165" fontId="10" fillId="4" borderId="3" xfId="0" applyNumberFormat="1" applyFont="1" applyFill="1" applyBorder="1" applyAlignment="1">
      <alignment horizontal="center" vertical="center" wrapText="1"/>
    </xf>
    <xf numFmtId="3" fontId="9" fillId="4" borderId="3" xfId="0" applyNumberFormat="1" applyFont="1" applyFill="1" applyBorder="1" applyAlignment="1">
      <alignment horizontal="right" vertical="center" wrapText="1"/>
    </xf>
    <xf numFmtId="9" fontId="49" fillId="4" borderId="3" xfId="0" applyNumberFormat="1" applyFont="1" applyFill="1" applyBorder="1" applyAlignment="1">
      <alignment horizontal="center" vertical="center"/>
    </xf>
    <xf numFmtId="165" fontId="5" fillId="5" borderId="22" xfId="0" applyNumberFormat="1" applyFont="1" applyFill="1" applyBorder="1" applyAlignment="1">
      <alignment horizontal="center"/>
    </xf>
    <xf numFmtId="0" fontId="16" fillId="8" borderId="9" xfId="0" applyFont="1" applyFill="1" applyBorder="1" applyAlignment="1">
      <alignment vertical="center" wrapText="1"/>
    </xf>
    <xf numFmtId="3" fontId="50" fillId="8" borderId="9" xfId="0" applyNumberFormat="1" applyFont="1" applyFill="1" applyBorder="1" applyAlignment="1">
      <alignment horizontal="center"/>
    </xf>
    <xf numFmtId="0" fontId="10" fillId="4" borderId="6" xfId="0" applyFont="1" applyFill="1" applyBorder="1" applyAlignment="1">
      <alignment vertical="center" wrapText="1"/>
    </xf>
    <xf numFmtId="165" fontId="10" fillId="4" borderId="6" xfId="0" applyNumberFormat="1" applyFont="1" applyFill="1" applyBorder="1" applyAlignment="1">
      <alignment horizontal="center" vertical="center" wrapText="1"/>
    </xf>
    <xf numFmtId="172" fontId="10" fillId="4" borderId="6" xfId="0" applyNumberFormat="1" applyFont="1" applyFill="1" applyBorder="1" applyAlignment="1">
      <alignment horizontal="center" vertical="center" wrapText="1"/>
    </xf>
    <xf numFmtId="0" fontId="50" fillId="0" borderId="6" xfId="0" applyFont="1" applyBorder="1" applyAlignment="1">
      <alignment horizontal="center"/>
    </xf>
    <xf numFmtId="0" fontId="9" fillId="4" borderId="6" xfId="0" applyFont="1" applyFill="1" applyBorder="1" applyAlignment="1">
      <alignment vertical="center" wrapText="1"/>
    </xf>
    <xf numFmtId="165" fontId="5" fillId="0" borderId="6" xfId="0" applyNumberFormat="1" applyFont="1" applyBorder="1" applyAlignment="1">
      <alignment horizontal="center"/>
    </xf>
    <xf numFmtId="172" fontId="5" fillId="0" borderId="6" xfId="0" applyNumberFormat="1" applyFont="1" applyBorder="1" applyAlignment="1">
      <alignment horizontal="center"/>
    </xf>
    <xf numFmtId="0" fontId="16" fillId="0" borderId="6" xfId="0" applyFont="1" applyBorder="1"/>
    <xf numFmtId="3" fontId="11" fillId="4" borderId="3" xfId="0" applyNumberFormat="1" applyFont="1" applyFill="1" applyBorder="1" applyAlignment="1">
      <alignment horizontal="right"/>
    </xf>
    <xf numFmtId="0" fontId="6" fillId="0" borderId="3" xfId="0" applyFont="1" applyBorder="1"/>
    <xf numFmtId="3" fontId="11" fillId="0" borderId="3" xfId="0" applyNumberFormat="1" applyFont="1" applyBorder="1" applyAlignment="1">
      <alignment horizontal="right" vertical="center" wrapText="1"/>
    </xf>
    <xf numFmtId="3" fontId="8" fillId="0" borderId="3" xfId="0" applyNumberFormat="1" applyFont="1" applyBorder="1"/>
    <xf numFmtId="0" fontId="3" fillId="0" borderId="0" xfId="0" applyFont="1" applyAlignment="1">
      <alignment vertical="center" wrapText="1"/>
    </xf>
    <xf numFmtId="0" fontId="51" fillId="0" borderId="16" xfId="0" applyFont="1" applyBorder="1" applyAlignment="1">
      <alignment horizontal="left" wrapText="1"/>
    </xf>
    <xf numFmtId="0" fontId="51" fillId="0" borderId="16" xfId="0" applyFont="1" applyBorder="1" applyAlignment="1">
      <alignment horizontal="center" wrapText="1"/>
    </xf>
    <xf numFmtId="0" fontId="39" fillId="13" borderId="3" xfId="0" applyFont="1" applyFill="1" applyBorder="1" applyAlignment="1">
      <alignment vertical="center" wrapText="1"/>
    </xf>
    <xf numFmtId="9" fontId="47" fillId="5" borderId="22" xfId="0" applyNumberFormat="1" applyFont="1" applyFill="1" applyBorder="1" applyAlignment="1">
      <alignment horizontal="center"/>
    </xf>
    <xf numFmtId="9" fontId="52" fillId="13" borderId="3" xfId="0" applyNumberFormat="1" applyFont="1" applyFill="1" applyBorder="1" applyAlignment="1">
      <alignment horizontal="center"/>
    </xf>
    <xf numFmtId="9" fontId="12" fillId="0" borderId="3" xfId="0" applyNumberFormat="1" applyFont="1" applyBorder="1" applyAlignment="1">
      <alignment horizontal="center"/>
    </xf>
    <xf numFmtId="0" fontId="39" fillId="0" borderId="3" xfId="0" applyFont="1" applyBorder="1" applyAlignment="1">
      <alignment vertical="center" wrapText="1"/>
    </xf>
    <xf numFmtId="9" fontId="52" fillId="0" borderId="3" xfId="0" applyNumberFormat="1" applyFont="1" applyBorder="1" applyAlignment="1">
      <alignment horizontal="center"/>
    </xf>
    <xf numFmtId="0" fontId="39" fillId="13" borderId="3" xfId="0" applyFont="1" applyFill="1" applyBorder="1"/>
    <xf numFmtId="0" fontId="39" fillId="0" borderId="3" xfId="0" applyFont="1" applyBorder="1"/>
    <xf numFmtId="0" fontId="53" fillId="0" borderId="0" xfId="0" applyFont="1"/>
    <xf numFmtId="0" fontId="50" fillId="0" borderId="0" xfId="0" applyFont="1" applyAlignment="1">
      <alignment vertical="top" wrapText="1"/>
    </xf>
    <xf numFmtId="0" fontId="11" fillId="0" borderId="0" xfId="0" applyFont="1"/>
    <xf numFmtId="0" fontId="40" fillId="0" borderId="16" xfId="0" applyFont="1" applyBorder="1" applyAlignment="1">
      <alignment horizontal="left"/>
    </xf>
    <xf numFmtId="0" fontId="40" fillId="0" borderId="16" xfId="0" applyFont="1" applyBorder="1" applyAlignment="1">
      <alignment horizontal="center"/>
    </xf>
    <xf numFmtId="0" fontId="7" fillId="13" borderId="3" xfId="0" applyFont="1" applyFill="1" applyBorder="1"/>
    <xf numFmtId="169" fontId="5" fillId="13" borderId="3" xfId="0" applyNumberFormat="1" applyFont="1" applyFill="1" applyBorder="1" applyAlignment="1">
      <alignment horizontal="center"/>
    </xf>
    <xf numFmtId="9" fontId="54" fillId="13" borderId="3" xfId="0" applyNumberFormat="1" applyFont="1" applyFill="1" applyBorder="1" applyAlignment="1">
      <alignment horizontal="center"/>
    </xf>
    <xf numFmtId="0" fontId="12" fillId="13" borderId="3" xfId="0" applyFont="1" applyFill="1" applyBorder="1" applyAlignment="1">
      <alignment horizontal="center"/>
    </xf>
    <xf numFmtId="0" fontId="16" fillId="13" borderId="3" xfId="0" applyFont="1" applyFill="1" applyBorder="1" applyAlignment="1">
      <alignment vertical="center" wrapText="1"/>
    </xf>
    <xf numFmtId="169" fontId="5" fillId="0" borderId="3" xfId="0" applyNumberFormat="1" applyFont="1" applyBorder="1" applyAlignment="1">
      <alignment horizontal="center"/>
    </xf>
    <xf numFmtId="9" fontId="54" fillId="0" borderId="3" xfId="0" applyNumberFormat="1" applyFont="1" applyBorder="1" applyAlignment="1">
      <alignment horizontal="center"/>
    </xf>
    <xf numFmtId="0" fontId="12" fillId="0" borderId="3" xfId="0" applyFont="1" applyBorder="1" applyAlignment="1">
      <alignment horizontal="center"/>
    </xf>
    <xf numFmtId="0" fontId="16" fillId="0" borderId="3" xfId="0" applyFont="1" applyBorder="1" applyAlignment="1">
      <alignment vertical="center" wrapText="1"/>
    </xf>
    <xf numFmtId="166" fontId="5" fillId="5" borderId="3" xfId="0" applyNumberFormat="1" applyFont="1" applyFill="1" applyBorder="1" applyAlignment="1">
      <alignment horizontal="center"/>
    </xf>
    <xf numFmtId="165" fontId="5" fillId="5" borderId="3" xfId="0" applyNumberFormat="1" applyFont="1" applyFill="1" applyBorder="1" applyAlignment="1">
      <alignment horizontal="center"/>
    </xf>
    <xf numFmtId="0" fontId="40" fillId="0" borderId="16" xfId="0" applyFont="1" applyBorder="1" applyAlignment="1">
      <alignment horizontal="left" wrapText="1"/>
    </xf>
    <xf numFmtId="0" fontId="40" fillId="0" borderId="16" xfId="0" applyFont="1" applyBorder="1" applyAlignment="1">
      <alignment horizontal="center" wrapText="1"/>
    </xf>
    <xf numFmtId="0" fontId="55" fillId="13" borderId="3" xfId="0" applyFont="1" applyFill="1" applyBorder="1"/>
    <xf numFmtId="165" fontId="7" fillId="13" borderId="3" xfId="0" applyNumberFormat="1" applyFont="1" applyFill="1" applyBorder="1" applyAlignment="1">
      <alignment horizontal="center"/>
    </xf>
    <xf numFmtId="169" fontId="7" fillId="13" borderId="3" xfId="0" applyNumberFormat="1" applyFont="1" applyFill="1" applyBorder="1" applyAlignment="1">
      <alignment horizontal="center"/>
    </xf>
    <xf numFmtId="166" fontId="56" fillId="13" borderId="3" xfId="0" applyNumberFormat="1" applyFont="1" applyFill="1" applyBorder="1" applyAlignment="1">
      <alignment horizontal="center"/>
    </xf>
    <xf numFmtId="3" fontId="11" fillId="13" borderId="3" xfId="0" applyNumberFormat="1" applyFont="1" applyFill="1" applyBorder="1" applyAlignment="1">
      <alignment horizontal="right"/>
    </xf>
    <xf numFmtId="0" fontId="5" fillId="0" borderId="3" xfId="0" applyFont="1" applyBorder="1"/>
    <xf numFmtId="165" fontId="7" fillId="0" borderId="3" xfId="0" applyNumberFormat="1" applyFont="1" applyBorder="1" applyAlignment="1">
      <alignment horizontal="center"/>
    </xf>
    <xf numFmtId="169" fontId="7" fillId="0" borderId="3" xfId="0" applyNumberFormat="1" applyFont="1" applyBorder="1" applyAlignment="1">
      <alignment horizontal="center"/>
    </xf>
    <xf numFmtId="166" fontId="56" fillId="0" borderId="3" xfId="0" applyNumberFormat="1" applyFont="1" applyBorder="1" applyAlignment="1">
      <alignment horizontal="center"/>
    </xf>
    <xf numFmtId="3" fontId="11" fillId="0" borderId="3" xfId="0" applyNumberFormat="1" applyFont="1" applyBorder="1" applyAlignment="1">
      <alignment horizontal="right"/>
    </xf>
    <xf numFmtId="0" fontId="5" fillId="13" borderId="3" xfId="0" applyFont="1" applyFill="1" applyBorder="1"/>
    <xf numFmtId="0" fontId="3" fillId="13" borderId="16" xfId="0" applyFont="1" applyFill="1" applyBorder="1"/>
    <xf numFmtId="3" fontId="40" fillId="13" borderId="16" xfId="0" applyNumberFormat="1" applyFont="1" applyFill="1" applyBorder="1" applyAlignment="1">
      <alignment horizontal="right"/>
    </xf>
    <xf numFmtId="3" fontId="8" fillId="0" borderId="3" xfId="0" applyNumberFormat="1" applyFont="1" applyBorder="1" applyAlignment="1">
      <alignment horizontal="right"/>
    </xf>
    <xf numFmtId="0" fontId="4" fillId="13" borderId="3" xfId="0" applyFont="1" applyFill="1" applyBorder="1"/>
    <xf numFmtId="3" fontId="8" fillId="13" borderId="3" xfId="0" applyNumberFormat="1" applyFont="1" applyFill="1" applyBorder="1" applyAlignment="1">
      <alignment horizontal="right"/>
    </xf>
    <xf numFmtId="0" fontId="3" fillId="0" borderId="16" xfId="0" applyFont="1" applyBorder="1"/>
    <xf numFmtId="0" fontId="40" fillId="0" borderId="16" xfId="0" applyFont="1" applyBorder="1" applyAlignment="1">
      <alignment horizontal="right"/>
    </xf>
    <xf numFmtId="0" fontId="3" fillId="0" borderId="3" xfId="0" applyFont="1" applyBorder="1"/>
    <xf numFmtId="0" fontId="42" fillId="0" borderId="0" xfId="0" applyFont="1" applyAlignment="1">
      <alignment vertical="top" wrapText="1"/>
    </xf>
    <xf numFmtId="0" fontId="57" fillId="0" borderId="0" xfId="0" applyFont="1" applyAlignment="1">
      <alignment vertical="top" wrapText="1"/>
    </xf>
    <xf numFmtId="0" fontId="9" fillId="0" borderId="0" xfId="0" applyFont="1" applyAlignment="1">
      <alignment horizontal="right" vertical="center" wrapText="1"/>
    </xf>
    <xf numFmtId="3" fontId="9" fillId="0" borderId="0" xfId="0" applyNumberFormat="1" applyFont="1" applyAlignment="1">
      <alignment horizontal="right" vertical="center" wrapText="1"/>
    </xf>
    <xf numFmtId="0" fontId="19" fillId="5" borderId="10" xfId="0" applyFont="1" applyFill="1" applyBorder="1" applyAlignment="1">
      <alignment horizontal="center" vertical="center" wrapText="1"/>
    </xf>
    <xf numFmtId="171" fontId="10" fillId="0" borderId="3" xfId="0" applyNumberFormat="1" applyFont="1" applyBorder="1" applyAlignment="1">
      <alignment horizontal="center" vertical="center" wrapText="1"/>
    </xf>
    <xf numFmtId="3" fontId="10" fillId="0" borderId="3" xfId="0" applyNumberFormat="1" applyFont="1" applyBorder="1" applyAlignment="1">
      <alignment vertical="center" wrapText="1"/>
    </xf>
    <xf numFmtId="165" fontId="9" fillId="0" borderId="3" xfId="0" applyNumberFormat="1" applyFont="1" applyBorder="1" applyAlignment="1">
      <alignment vertical="center" wrapText="1"/>
    </xf>
    <xf numFmtId="0" fontId="9" fillId="4" borderId="3" xfId="0" applyFont="1" applyFill="1" applyBorder="1" applyAlignment="1">
      <alignment horizontal="center" vertical="center" wrapText="1"/>
    </xf>
    <xf numFmtId="165" fontId="9" fillId="0" borderId="0" xfId="0" applyNumberFormat="1" applyFont="1" applyAlignment="1">
      <alignment horizontal="center" vertical="center" wrapText="1"/>
    </xf>
    <xf numFmtId="2" fontId="9" fillId="4" borderId="0" xfId="0" applyNumberFormat="1" applyFont="1" applyFill="1" applyAlignment="1">
      <alignment horizontal="center" vertical="center" wrapText="1"/>
    </xf>
    <xf numFmtId="2" fontId="9" fillId="0" borderId="0" xfId="0" applyNumberFormat="1" applyFont="1" applyAlignment="1">
      <alignment horizontal="center" vertical="center" wrapText="1"/>
    </xf>
    <xf numFmtId="49" fontId="10" fillId="0" borderId="0" xfId="0" applyNumberFormat="1" applyFont="1" applyAlignment="1">
      <alignment horizontal="center" vertical="center" wrapText="1"/>
    </xf>
    <xf numFmtId="3" fontId="10" fillId="4" borderId="0" xfId="0" applyNumberFormat="1" applyFont="1" applyFill="1" applyAlignment="1">
      <alignment horizontal="center" vertical="center" wrapText="1"/>
    </xf>
    <xf numFmtId="2" fontId="10" fillId="4" borderId="0" xfId="0" applyNumberFormat="1" applyFont="1" applyFill="1" applyAlignment="1">
      <alignment horizontal="center" vertical="center" wrapText="1"/>
    </xf>
    <xf numFmtId="0" fontId="11" fillId="3" borderId="2" xfId="0" applyFont="1" applyFill="1" applyBorder="1" applyAlignment="1">
      <alignment vertical="center"/>
    </xf>
    <xf numFmtId="0" fontId="58" fillId="0" borderId="23" xfId="0" applyFont="1" applyBorder="1" applyAlignment="1">
      <alignment vertical="top" wrapText="1"/>
    </xf>
    <xf numFmtId="3" fontId="19" fillId="5" borderId="10" xfId="0" applyNumberFormat="1" applyFont="1" applyFill="1" applyBorder="1" applyAlignment="1">
      <alignment horizontal="right" vertical="center" wrapText="1"/>
    </xf>
    <xf numFmtId="0" fontId="59" fillId="0" borderId="0" xfId="0" applyFont="1" applyAlignment="1">
      <alignment vertical="center" wrapText="1"/>
    </xf>
    <xf numFmtId="0" fontId="60" fillId="0" borderId="0" xfId="0" applyFont="1" applyAlignment="1">
      <alignment vertical="center" wrapText="1"/>
    </xf>
    <xf numFmtId="1" fontId="19" fillId="5" borderId="10" xfId="0" applyNumberFormat="1" applyFont="1" applyFill="1" applyBorder="1" applyAlignment="1">
      <alignment horizontal="right" vertical="center" wrapText="1"/>
    </xf>
    <xf numFmtId="0" fontId="58" fillId="3" borderId="2" xfId="0" applyFont="1" applyFill="1" applyBorder="1" applyAlignment="1">
      <alignment vertical="center" wrapText="1"/>
    </xf>
    <xf numFmtId="3" fontId="19" fillId="5" borderId="10" xfId="0" applyNumberFormat="1" applyFont="1" applyFill="1" applyBorder="1" applyAlignment="1">
      <alignment horizontal="center" vertical="center" wrapText="1"/>
    </xf>
    <xf numFmtId="165" fontId="10" fillId="0" borderId="16" xfId="0" applyNumberFormat="1" applyFont="1" applyBorder="1" applyAlignment="1">
      <alignment horizontal="center" vertical="center" wrapText="1"/>
    </xf>
    <xf numFmtId="3" fontId="10" fillId="0" borderId="16" xfId="0" applyNumberFormat="1" applyFont="1" applyBorder="1" applyAlignment="1">
      <alignment horizontal="center" vertical="center" wrapText="1"/>
    </xf>
    <xf numFmtId="3" fontId="9" fillId="4" borderId="3" xfId="0" applyNumberFormat="1" applyFont="1" applyFill="1" applyBorder="1" applyAlignment="1">
      <alignment horizontal="center" vertical="center" wrapText="1"/>
    </xf>
    <xf numFmtId="0" fontId="60" fillId="0" borderId="3" xfId="0" applyFont="1" applyBorder="1" applyAlignment="1">
      <alignment vertical="center" wrapText="1"/>
    </xf>
    <xf numFmtId="3" fontId="10" fillId="0" borderId="3" xfId="0" applyNumberFormat="1" applyFont="1" applyBorder="1" applyAlignment="1">
      <alignment horizontal="center" vertical="center" wrapText="1"/>
    </xf>
    <xf numFmtId="165" fontId="9" fillId="0" borderId="3"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61" fillId="0" borderId="3" xfId="0" applyFont="1" applyBorder="1" applyAlignment="1">
      <alignment vertical="center" wrapText="1"/>
    </xf>
    <xf numFmtId="3" fontId="10" fillId="4" borderId="3" xfId="0" applyNumberFormat="1" applyFont="1" applyFill="1" applyBorder="1" applyAlignment="1">
      <alignment horizontal="center" vertical="center" wrapText="1"/>
    </xf>
    <xf numFmtId="0" fontId="34" fillId="0" borderId="3" xfId="0" applyFont="1" applyBorder="1"/>
    <xf numFmtId="3" fontId="10" fillId="0" borderId="20" xfId="0" applyNumberFormat="1" applyFont="1" applyBorder="1" applyAlignment="1">
      <alignment horizontal="center" vertical="center" wrapText="1"/>
    </xf>
    <xf numFmtId="165" fontId="9" fillId="0" borderId="20" xfId="0" applyNumberFormat="1" applyFont="1" applyBorder="1" applyAlignment="1">
      <alignment horizontal="center" vertical="center" wrapText="1"/>
    </xf>
    <xf numFmtId="10" fontId="9" fillId="0" borderId="0" xfId="0" applyNumberFormat="1" applyFont="1" applyAlignment="1">
      <alignment horizontal="right" vertical="center" wrapText="1"/>
    </xf>
    <xf numFmtId="3" fontId="62" fillId="0" borderId="0" xfId="0" applyNumberFormat="1" applyFont="1" applyAlignment="1">
      <alignment horizontal="center" vertical="center"/>
    </xf>
    <xf numFmtId="0" fontId="61" fillId="0" borderId="0" xfId="0" applyFont="1" applyAlignment="1">
      <alignment vertical="center" wrapText="1"/>
    </xf>
    <xf numFmtId="164" fontId="9" fillId="0" borderId="0" xfId="0" applyNumberFormat="1" applyFont="1" applyAlignment="1">
      <alignment horizontal="right" vertical="center" wrapText="1"/>
    </xf>
    <xf numFmtId="3" fontId="63" fillId="0" borderId="0" xfId="0" applyNumberFormat="1" applyFont="1" applyAlignment="1">
      <alignment horizontal="center" vertical="center"/>
    </xf>
    <xf numFmtId="165" fontId="63" fillId="0" borderId="0" xfId="0" applyNumberFormat="1" applyFont="1" applyAlignment="1">
      <alignment horizontal="center" vertical="center"/>
    </xf>
    <xf numFmtId="1" fontId="9" fillId="0" borderId="0" xfId="0" applyNumberFormat="1" applyFont="1" applyAlignment="1">
      <alignment horizontal="right" vertical="center" wrapText="1"/>
    </xf>
    <xf numFmtId="165" fontId="10" fillId="0" borderId="3" xfId="0" applyNumberFormat="1" applyFont="1" applyBorder="1" applyAlignment="1">
      <alignment horizontal="center" vertical="center" wrapText="1"/>
    </xf>
    <xf numFmtId="167" fontId="19" fillId="5" borderId="10" xfId="0" applyNumberFormat="1" applyFont="1" applyFill="1" applyBorder="1" applyAlignment="1">
      <alignment vertical="center" wrapText="1"/>
    </xf>
    <xf numFmtId="10" fontId="9" fillId="4" borderId="4" xfId="0" applyNumberFormat="1" applyFont="1" applyFill="1" applyBorder="1" applyAlignment="1">
      <alignment vertical="center" wrapText="1"/>
    </xf>
    <xf numFmtId="10" fontId="9" fillId="0" borderId="4" xfId="0" applyNumberFormat="1" applyFont="1" applyBorder="1" applyAlignment="1">
      <alignment vertical="center" wrapText="1"/>
    </xf>
    <xf numFmtId="167" fontId="10" fillId="4" borderId="4" xfId="0" applyNumberFormat="1" applyFont="1" applyFill="1" applyBorder="1" applyAlignment="1">
      <alignment vertical="center" wrapText="1"/>
    </xf>
    <xf numFmtId="165" fontId="9" fillId="0" borderId="4" xfId="0" applyNumberFormat="1" applyFont="1" applyBorder="1" applyAlignment="1">
      <alignment vertical="center" wrapText="1"/>
    </xf>
    <xf numFmtId="170" fontId="19" fillId="5" borderId="10" xfId="0" applyNumberFormat="1" applyFont="1" applyFill="1" applyBorder="1" applyAlignment="1">
      <alignment vertical="center" wrapText="1"/>
    </xf>
    <xf numFmtId="165" fontId="19" fillId="5" borderId="10" xfId="0" applyNumberFormat="1" applyFont="1" applyFill="1" applyBorder="1" applyAlignment="1">
      <alignment vertical="center" wrapText="1"/>
    </xf>
    <xf numFmtId="167" fontId="9" fillId="0" borderId="4" xfId="0" applyNumberFormat="1" applyFont="1" applyBorder="1" applyAlignment="1">
      <alignment vertical="center" wrapText="1"/>
    </xf>
    <xf numFmtId="167" fontId="9" fillId="4" borderId="4" xfId="0" applyNumberFormat="1" applyFont="1" applyFill="1" applyBorder="1" applyAlignment="1">
      <alignment vertical="center" wrapText="1"/>
    </xf>
    <xf numFmtId="0" fontId="11" fillId="0" borderId="0" xfId="0" applyFont="1" applyAlignment="1">
      <alignment vertical="center"/>
    </xf>
    <xf numFmtId="166" fontId="9" fillId="0" borderId="4" xfId="0" applyNumberFormat="1" applyFont="1" applyBorder="1" applyAlignment="1">
      <alignment vertical="center" wrapText="1"/>
    </xf>
    <xf numFmtId="1" fontId="9" fillId="8" borderId="9" xfId="0" applyNumberFormat="1" applyFont="1" applyFill="1" applyBorder="1" applyAlignment="1">
      <alignment horizontal="center" vertical="center" wrapText="1"/>
    </xf>
    <xf numFmtId="3" fontId="10" fillId="8" borderId="9" xfId="0" applyNumberFormat="1" applyFont="1" applyFill="1" applyBorder="1" applyAlignment="1">
      <alignment horizontal="right" vertical="center" wrapText="1"/>
    </xf>
    <xf numFmtId="170" fontId="9" fillId="8" borderId="9" xfId="0" applyNumberFormat="1" applyFont="1" applyFill="1" applyBorder="1" applyAlignment="1">
      <alignment horizontal="center" vertical="center" wrapText="1"/>
    </xf>
    <xf numFmtId="3" fontId="9" fillId="0" borderId="3" xfId="0" applyNumberFormat="1" applyFont="1" applyBorder="1" applyAlignment="1">
      <alignment horizontal="right" vertical="center" wrapText="1"/>
    </xf>
    <xf numFmtId="0" fontId="10" fillId="4" borderId="20" xfId="0" applyFont="1" applyFill="1" applyBorder="1" applyAlignment="1">
      <alignment vertical="center" wrapText="1"/>
    </xf>
    <xf numFmtId="1" fontId="10" fillId="4" borderId="20" xfId="0" applyNumberFormat="1" applyFont="1" applyFill="1" applyBorder="1" applyAlignment="1">
      <alignment horizontal="center" vertical="center" wrapText="1"/>
    </xf>
    <xf numFmtId="165" fontId="10" fillId="4" borderId="20" xfId="0" applyNumberFormat="1" applyFont="1" applyFill="1" applyBorder="1" applyAlignment="1">
      <alignment horizontal="center" vertical="center" wrapText="1"/>
    </xf>
    <xf numFmtId="3" fontId="10" fillId="4" borderId="20" xfId="0" applyNumberFormat="1" applyFont="1" applyFill="1" applyBorder="1" applyAlignment="1">
      <alignment horizontal="right" vertical="center" wrapText="1"/>
    </xf>
    <xf numFmtId="170" fontId="10" fillId="4" borderId="20" xfId="0" applyNumberFormat="1" applyFont="1" applyFill="1" applyBorder="1" applyAlignment="1">
      <alignment horizontal="center" vertical="center" wrapText="1"/>
    </xf>
    <xf numFmtId="0" fontId="0" fillId="0" borderId="20" xfId="0" applyBorder="1"/>
    <xf numFmtId="3" fontId="10" fillId="0" borderId="0" xfId="0" applyNumberFormat="1" applyFont="1" applyAlignment="1">
      <alignment horizontal="center" vertical="center" wrapText="1"/>
    </xf>
    <xf numFmtId="0" fontId="10" fillId="4" borderId="23" xfId="0" applyFont="1" applyFill="1" applyBorder="1" applyAlignment="1">
      <alignment vertical="center" wrapText="1"/>
    </xf>
    <xf numFmtId="1" fontId="19" fillId="5" borderId="10" xfId="0" applyNumberFormat="1" applyFont="1" applyFill="1" applyBorder="1" applyAlignment="1">
      <alignment horizontal="center" vertical="center" wrapText="1"/>
    </xf>
    <xf numFmtId="2" fontId="19" fillId="5" borderId="10" xfId="0" applyNumberFormat="1" applyFont="1" applyFill="1" applyBorder="1" applyAlignment="1">
      <alignment vertical="center" wrapText="1"/>
    </xf>
    <xf numFmtId="171" fontId="10" fillId="0" borderId="4" xfId="0" applyNumberFormat="1" applyFont="1" applyBorder="1" applyAlignment="1">
      <alignment horizontal="center" vertical="center" wrapText="1"/>
    </xf>
    <xf numFmtId="170" fontId="10" fillId="4" borderId="4" xfId="0" applyNumberFormat="1" applyFont="1" applyFill="1" applyBorder="1" applyAlignment="1">
      <alignment horizontal="center" vertical="center" wrapText="1"/>
    </xf>
    <xf numFmtId="171" fontId="9" fillId="0" borderId="4" xfId="0" applyNumberFormat="1" applyFont="1" applyBorder="1" applyAlignment="1">
      <alignment horizontal="center" vertical="center" wrapText="1"/>
    </xf>
    <xf numFmtId="171" fontId="9" fillId="4" borderId="4" xfId="0" applyNumberFormat="1" applyFont="1" applyFill="1" applyBorder="1" applyAlignment="1">
      <alignment horizontal="center" vertical="center" wrapText="1"/>
    </xf>
    <xf numFmtId="165" fontId="10" fillId="0" borderId="4" xfId="0" applyNumberFormat="1" applyFont="1" applyBorder="1" applyAlignment="1">
      <alignment horizontal="center" vertical="center" wrapText="1"/>
    </xf>
    <xf numFmtId="165" fontId="9" fillId="4" borderId="4" xfId="0" applyNumberFormat="1" applyFont="1" applyFill="1" applyBorder="1" applyAlignment="1">
      <alignment vertical="center" wrapText="1"/>
    </xf>
    <xf numFmtId="167" fontId="10" fillId="0" borderId="4" xfId="0" applyNumberFormat="1" applyFont="1" applyBorder="1" applyAlignment="1">
      <alignment vertical="center" wrapText="1"/>
    </xf>
    <xf numFmtId="0" fontId="9" fillId="4" borderId="0" xfId="0" applyFont="1" applyFill="1" applyAlignment="1">
      <alignment horizontal="center" vertical="center" wrapText="1"/>
    </xf>
    <xf numFmtId="165" fontId="9" fillId="4" borderId="0" xfId="0" applyNumberFormat="1" applyFont="1" applyFill="1" applyAlignment="1">
      <alignment horizontal="center" vertical="center" wrapText="1"/>
    </xf>
    <xf numFmtId="0" fontId="10" fillId="0" borderId="4" xfId="0" applyFont="1" applyBorder="1" applyAlignment="1">
      <alignment horizontal="center" vertical="center" wrapText="1"/>
    </xf>
    <xf numFmtId="0" fontId="9" fillId="4" borderId="4" xfId="0" applyFont="1" applyFill="1" applyBorder="1" applyAlignment="1">
      <alignment horizontal="center" vertical="center" wrapText="1"/>
    </xf>
    <xf numFmtId="165" fontId="9" fillId="4" borderId="4"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165" fontId="9" fillId="0" borderId="4" xfId="0" applyNumberFormat="1" applyFont="1" applyBorder="1" applyAlignment="1">
      <alignment horizontal="center" vertical="center" wrapText="1"/>
    </xf>
    <xf numFmtId="0" fontId="59" fillId="0" borderId="0" xfId="0" applyFont="1" applyAlignment="1">
      <alignment vertical="top" wrapText="1"/>
    </xf>
    <xf numFmtId="171" fontId="0" fillId="0" borderId="4" xfId="0" applyNumberFormat="1" applyBorder="1" applyAlignment="1">
      <alignment horizontal="center"/>
    </xf>
    <xf numFmtId="0" fontId="0" fillId="0" borderId="4" xfId="0" applyBorder="1" applyAlignment="1">
      <alignment horizontal="center"/>
    </xf>
    <xf numFmtId="171" fontId="9" fillId="0" borderId="4" xfId="0" applyNumberFormat="1" applyFont="1" applyBorder="1" applyAlignment="1">
      <alignment vertical="center" wrapText="1"/>
    </xf>
    <xf numFmtId="0" fontId="10" fillId="0" borderId="23" xfId="0" applyFont="1" applyBorder="1" applyAlignment="1">
      <alignment vertical="center" wrapText="1"/>
    </xf>
    <xf numFmtId="0" fontId="10" fillId="0" borderId="23" xfId="0" applyFont="1" applyBorder="1" applyAlignment="1">
      <alignment horizontal="center" vertical="center" wrapText="1"/>
    </xf>
    <xf numFmtId="0" fontId="0" fillId="3" borderId="2" xfId="0" applyFill="1" applyBorder="1" applyAlignment="1">
      <alignment horizontal="center" vertical="center" wrapText="1"/>
    </xf>
    <xf numFmtId="0" fontId="64" fillId="0" borderId="0" xfId="0" applyFont="1"/>
    <xf numFmtId="3" fontId="65" fillId="0" borderId="0" xfId="0" applyNumberFormat="1" applyFont="1" applyAlignment="1">
      <alignment horizontal="center" vertical="center"/>
    </xf>
    <xf numFmtId="167" fontId="9" fillId="0" borderId="4" xfId="0" applyNumberFormat="1" applyFont="1" applyBorder="1" applyAlignment="1">
      <alignment horizontal="center" vertical="center" wrapText="1"/>
    </xf>
    <xf numFmtId="0" fontId="36" fillId="0" borderId="7" xfId="0" applyFont="1" applyBorder="1"/>
    <xf numFmtId="167" fontId="9" fillId="4" borderId="4" xfId="0" applyNumberFormat="1" applyFont="1" applyFill="1" applyBorder="1" applyAlignment="1">
      <alignment horizontal="center" vertical="center" wrapText="1"/>
    </xf>
    <xf numFmtId="167" fontId="19" fillId="5" borderId="10" xfId="0" applyNumberFormat="1" applyFont="1" applyFill="1" applyBorder="1" applyAlignment="1">
      <alignment horizontal="center" vertical="center" wrapText="1"/>
    </xf>
    <xf numFmtId="0" fontId="60" fillId="0" borderId="0" xfId="0" applyFont="1" applyAlignment="1">
      <alignment vertical="top" wrapText="1"/>
    </xf>
    <xf numFmtId="0" fontId="66" fillId="0" borderId="0" xfId="0" applyFont="1"/>
    <xf numFmtId="2" fontId="67" fillId="10" borderId="4" xfId="0" applyNumberFormat="1" applyFont="1" applyFill="1" applyBorder="1" applyAlignment="1">
      <alignment horizontal="center" vertical="center"/>
    </xf>
    <xf numFmtId="2" fontId="67" fillId="3" borderId="2" xfId="0" applyNumberFormat="1" applyFont="1" applyFill="1" applyBorder="1" applyAlignment="1">
      <alignment horizontal="center" vertical="center" wrapText="1"/>
    </xf>
    <xf numFmtId="0" fontId="34" fillId="3" borderId="2" xfId="0" applyFont="1" applyFill="1" applyBorder="1" applyAlignment="1">
      <alignment vertical="center" wrapText="1"/>
    </xf>
    <xf numFmtId="0" fontId="60" fillId="3" borderId="2" xfId="0" applyFont="1" applyFill="1" applyBorder="1" applyAlignment="1">
      <alignment vertical="center" wrapText="1"/>
    </xf>
    <xf numFmtId="166" fontId="5" fillId="5" borderId="3" xfId="0" applyNumberFormat="1" applyFont="1" applyFill="1" applyBorder="1" applyAlignment="1">
      <alignment horizontal="right"/>
    </xf>
    <xf numFmtId="0" fontId="58" fillId="0" borderId="3" xfId="0" applyFont="1" applyBorder="1" applyAlignment="1">
      <alignment vertical="top" wrapText="1"/>
    </xf>
    <xf numFmtId="169" fontId="4" fillId="0" borderId="3" xfId="0" applyNumberFormat="1" applyFont="1" applyBorder="1" applyAlignment="1">
      <alignment horizontal="center" vertical="center" wrapText="1"/>
    </xf>
    <xf numFmtId="166" fontId="68" fillId="0" borderId="3" xfId="0" applyNumberFormat="1" applyFont="1" applyBorder="1" applyAlignment="1">
      <alignment horizontal="center" vertical="center"/>
    </xf>
    <xf numFmtId="169" fontId="4" fillId="4" borderId="3" xfId="0" applyNumberFormat="1" applyFont="1" applyFill="1" applyBorder="1" applyAlignment="1">
      <alignment horizontal="center" vertical="center" wrapText="1"/>
    </xf>
    <xf numFmtId="0" fontId="69" fillId="0" borderId="0" xfId="0" applyFont="1"/>
    <xf numFmtId="164" fontId="5" fillId="0" borderId="3" xfId="0" applyNumberFormat="1" applyFont="1" applyBorder="1" applyAlignment="1">
      <alignment horizontal="right"/>
    </xf>
    <xf numFmtId="171" fontId="5" fillId="4" borderId="3" xfId="0" applyNumberFormat="1" applyFont="1" applyFill="1" applyBorder="1" applyAlignment="1">
      <alignment horizontal="right"/>
    </xf>
    <xf numFmtId="169" fontId="66" fillId="3" borderId="2" xfId="0" applyNumberFormat="1" applyFont="1" applyFill="1" applyBorder="1" applyAlignment="1">
      <alignment vertical="center" wrapText="1"/>
    </xf>
    <xf numFmtId="167" fontId="66" fillId="3" borderId="2" xfId="0" applyNumberFormat="1" applyFont="1" applyFill="1" applyBorder="1" applyAlignment="1">
      <alignment horizontal="center" vertical="center" wrapText="1"/>
    </xf>
    <xf numFmtId="166" fontId="68" fillId="3" borderId="2" xfId="0" applyNumberFormat="1" applyFont="1" applyFill="1" applyBorder="1" applyAlignment="1">
      <alignment vertical="center" wrapText="1"/>
    </xf>
    <xf numFmtId="169" fontId="40" fillId="4" borderId="16" xfId="0" applyNumberFormat="1" applyFont="1" applyFill="1" applyBorder="1" applyAlignment="1">
      <alignment horizontal="left" wrapText="1"/>
    </xf>
    <xf numFmtId="3" fontId="40" fillId="4" borderId="16" xfId="0" applyNumberFormat="1" applyFont="1" applyFill="1" applyBorder="1" applyAlignment="1">
      <alignment horizontal="center" wrapText="1"/>
    </xf>
    <xf numFmtId="166" fontId="40" fillId="0" borderId="16" xfId="0" applyNumberFormat="1" applyFont="1" applyBorder="1" applyAlignment="1">
      <alignment horizontal="center" wrapText="1"/>
    </xf>
    <xf numFmtId="0" fontId="55" fillId="13" borderId="3" xfId="0" applyFont="1" applyFill="1" applyBorder="1" applyAlignment="1">
      <alignment vertical="center" wrapText="1"/>
    </xf>
    <xf numFmtId="3" fontId="7" fillId="13" borderId="3" xfId="0" applyNumberFormat="1" applyFont="1" applyFill="1" applyBorder="1" applyAlignment="1">
      <alignment horizontal="right"/>
    </xf>
    <xf numFmtId="166" fontId="7" fillId="13" borderId="3" xfId="0" applyNumberFormat="1" applyFont="1" applyFill="1" applyBorder="1" applyAlignment="1">
      <alignment horizontal="center"/>
    </xf>
    <xf numFmtId="3" fontId="5" fillId="13" borderId="3" xfId="0" applyNumberFormat="1" applyFont="1" applyFill="1" applyBorder="1" applyAlignment="1">
      <alignment horizontal="right"/>
    </xf>
    <xf numFmtId="166" fontId="7" fillId="0" borderId="3" xfId="0" applyNumberFormat="1" applyFont="1" applyBorder="1" applyAlignment="1">
      <alignment horizontal="center"/>
    </xf>
    <xf numFmtId="3" fontId="5" fillId="4" borderId="3" xfId="0" applyNumberFormat="1" applyFont="1" applyFill="1" applyBorder="1" applyAlignment="1">
      <alignment horizontal="right"/>
    </xf>
    <xf numFmtId="0" fontId="5" fillId="0" borderId="6" xfId="0" applyFont="1" applyBorder="1" applyAlignment="1">
      <alignment vertical="center" wrapText="1"/>
    </xf>
    <xf numFmtId="3" fontId="70" fillId="0" borderId="6" xfId="0" applyNumberFormat="1" applyFont="1" applyBorder="1" applyAlignment="1">
      <alignment horizontal="right"/>
    </xf>
    <xf numFmtId="0" fontId="4" fillId="7" borderId="6" xfId="0" applyFont="1" applyFill="1" applyBorder="1" applyAlignment="1">
      <alignment horizontal="center" vertical="center" wrapText="1"/>
    </xf>
    <xf numFmtId="169" fontId="11" fillId="7" borderId="6" xfId="0" applyNumberFormat="1" applyFont="1" applyFill="1" applyBorder="1" applyAlignment="1">
      <alignment horizontal="right"/>
    </xf>
    <xf numFmtId="0" fontId="21" fillId="12" borderId="6" xfId="0" applyFont="1" applyFill="1" applyBorder="1" applyAlignment="1">
      <alignment horizontal="center" wrapText="1"/>
    </xf>
    <xf numFmtId="0" fontId="6" fillId="7" borderId="6" xfId="0" applyFont="1" applyFill="1" applyBorder="1" applyAlignment="1">
      <alignment vertical="center" wrapText="1"/>
    </xf>
    <xf numFmtId="2" fontId="4" fillId="0" borderId="3" xfId="0" applyNumberFormat="1" applyFont="1" applyBorder="1" applyAlignment="1">
      <alignment vertical="center" wrapText="1"/>
    </xf>
    <xf numFmtId="167" fontId="0" fillId="0" borderId="3" xfId="0" applyNumberFormat="1" applyBorder="1"/>
    <xf numFmtId="166" fontId="6" fillId="0" borderId="3" xfId="0" applyNumberFormat="1" applyFont="1" applyBorder="1" applyAlignment="1">
      <alignment vertical="center" wrapText="1"/>
    </xf>
    <xf numFmtId="170" fontId="5" fillId="0" borderId="3" xfId="0" applyNumberFormat="1" applyFont="1" applyBorder="1" applyAlignment="1">
      <alignment horizontal="right"/>
    </xf>
    <xf numFmtId="2" fontId="3" fillId="0" borderId="3" xfId="0" applyNumberFormat="1" applyFont="1" applyBorder="1"/>
    <xf numFmtId="170" fontId="7" fillId="0" borderId="3" xfId="0" applyNumberFormat="1" applyFont="1" applyBorder="1" applyAlignment="1">
      <alignment horizontal="right"/>
    </xf>
    <xf numFmtId="0" fontId="9" fillId="0" borderId="24" xfId="0" applyFont="1" applyBorder="1" applyAlignment="1">
      <alignment vertical="center" wrapText="1"/>
    </xf>
    <xf numFmtId="2" fontId="42" fillId="0" borderId="4" xfId="0" applyNumberFormat="1" applyFont="1" applyBorder="1" applyAlignment="1">
      <alignment vertical="top" wrapText="1"/>
    </xf>
    <xf numFmtId="2" fontId="0" fillId="0" borderId="4" xfId="0" applyNumberFormat="1" applyBorder="1" applyAlignment="1">
      <alignment horizontal="center"/>
    </xf>
    <xf numFmtId="167" fontId="0" fillId="0" borderId="4" xfId="0" applyNumberFormat="1" applyBorder="1"/>
    <xf numFmtId="166" fontId="0" fillId="0" borderId="4" xfId="0" applyNumberFormat="1" applyBorder="1"/>
    <xf numFmtId="0" fontId="0" fillId="0" borderId="4" xfId="0" applyBorder="1"/>
    <xf numFmtId="3" fontId="12" fillId="0" borderId="0" xfId="0" applyNumberFormat="1" applyFont="1" applyAlignment="1">
      <alignment horizontal="right"/>
    </xf>
    <xf numFmtId="2" fontId="7" fillId="13" borderId="3" xfId="0" applyNumberFormat="1" applyFont="1" applyFill="1" applyBorder="1" applyAlignment="1">
      <alignment horizontal="center"/>
    </xf>
    <xf numFmtId="171" fontId="7" fillId="13" borderId="3" xfId="0" applyNumberFormat="1" applyFont="1" applyFill="1" applyBorder="1" applyAlignment="1">
      <alignment horizontal="center"/>
    </xf>
    <xf numFmtId="3" fontId="56" fillId="13" borderId="3" xfId="0" applyNumberFormat="1" applyFont="1" applyFill="1" applyBorder="1" applyAlignment="1">
      <alignment horizontal="right"/>
    </xf>
    <xf numFmtId="2" fontId="5" fillId="13" borderId="3" xfId="0" applyNumberFormat="1" applyFont="1" applyFill="1" applyBorder="1" applyAlignment="1">
      <alignment horizontal="center"/>
    </xf>
    <xf numFmtId="0" fontId="11" fillId="0" borderId="3" xfId="0" applyFont="1" applyBorder="1"/>
    <xf numFmtId="2" fontId="7" fillId="0" borderId="3" xfId="0" applyNumberFormat="1" applyFont="1" applyBorder="1" applyAlignment="1">
      <alignment horizontal="center"/>
    </xf>
    <xf numFmtId="171" fontId="7" fillId="0" borderId="3" xfId="0" applyNumberFormat="1" applyFont="1" applyBorder="1" applyAlignment="1">
      <alignment horizontal="center"/>
    </xf>
    <xf numFmtId="3" fontId="56" fillId="0" borderId="3" xfId="0" applyNumberFormat="1" applyFont="1" applyBorder="1" applyAlignment="1">
      <alignment horizontal="right"/>
    </xf>
    <xf numFmtId="2" fontId="5" fillId="0" borderId="3" xfId="0" applyNumberFormat="1" applyFont="1" applyBorder="1" applyAlignment="1">
      <alignment horizontal="center"/>
    </xf>
    <xf numFmtId="0" fontId="6" fillId="13" borderId="3" xfId="0" applyFont="1" applyFill="1" applyBorder="1" applyAlignment="1">
      <alignment vertical="top" wrapText="1"/>
    </xf>
    <xf numFmtId="0" fontId="5" fillId="7" borderId="3" xfId="0" applyFont="1" applyFill="1" applyBorder="1" applyAlignment="1">
      <alignment horizontal="center" vertical="center" wrapText="1"/>
    </xf>
    <xf numFmtId="2" fontId="7" fillId="7" borderId="3" xfId="0" applyNumberFormat="1" applyFont="1" applyFill="1" applyBorder="1" applyAlignment="1">
      <alignment horizontal="center"/>
    </xf>
    <xf numFmtId="171" fontId="7" fillId="7" borderId="3" xfId="0" applyNumberFormat="1" applyFont="1" applyFill="1" applyBorder="1" applyAlignment="1">
      <alignment horizontal="center"/>
    </xf>
    <xf numFmtId="3" fontId="7" fillId="7" borderId="3" xfId="0" applyNumberFormat="1" applyFont="1" applyFill="1" applyBorder="1" applyAlignment="1">
      <alignment horizontal="right"/>
    </xf>
    <xf numFmtId="3" fontId="56" fillId="7" borderId="3" xfId="0" applyNumberFormat="1" applyFont="1" applyFill="1" applyBorder="1" applyAlignment="1">
      <alignment horizontal="right"/>
    </xf>
    <xf numFmtId="3" fontId="40" fillId="0" borderId="16" xfId="0" applyNumberFormat="1" applyFont="1" applyBorder="1" applyAlignment="1">
      <alignment horizontal="left" wrapText="1"/>
    </xf>
    <xf numFmtId="3" fontId="40" fillId="0" borderId="16" xfId="0" applyNumberFormat="1" applyFont="1" applyBorder="1" applyAlignment="1">
      <alignment horizontal="center" wrapText="1"/>
    </xf>
    <xf numFmtId="167" fontId="40" fillId="0" borderId="16" xfId="0" applyNumberFormat="1" applyFont="1" applyBorder="1" applyAlignment="1">
      <alignment horizontal="center" wrapText="1"/>
    </xf>
    <xf numFmtId="3" fontId="6" fillId="13" borderId="3" xfId="0" applyNumberFormat="1" applyFont="1" applyFill="1" applyBorder="1" applyAlignment="1">
      <alignment horizontal="center"/>
    </xf>
    <xf numFmtId="3" fontId="4" fillId="0" borderId="3" xfId="0" applyNumberFormat="1" applyFont="1" applyBorder="1" applyAlignment="1">
      <alignment horizontal="center"/>
    </xf>
    <xf numFmtId="0" fontId="0" fillId="0" borderId="3" xfId="0" applyBorder="1" applyAlignment="1">
      <alignment horizontal="center"/>
    </xf>
    <xf numFmtId="0" fontId="6" fillId="13" borderId="3" xfId="0" applyFont="1" applyFill="1" applyBorder="1" applyAlignment="1">
      <alignment horizontal="center"/>
    </xf>
    <xf numFmtId="3" fontId="15" fillId="0" borderId="6" xfId="0" applyNumberFormat="1" applyFont="1" applyBorder="1" applyAlignment="1">
      <alignment horizontal="right"/>
    </xf>
    <xf numFmtId="169" fontId="5" fillId="5" borderId="3" xfId="0" applyNumberFormat="1" applyFont="1" applyFill="1" applyBorder="1" applyAlignment="1">
      <alignment horizontal="right"/>
    </xf>
    <xf numFmtId="1" fontId="5" fillId="5" borderId="3" xfId="0" applyNumberFormat="1" applyFont="1" applyFill="1" applyBorder="1" applyAlignment="1">
      <alignment horizontal="right"/>
    </xf>
    <xf numFmtId="9" fontId="5" fillId="5" borderId="3" xfId="0" applyNumberFormat="1" applyFont="1" applyFill="1" applyBorder="1" applyAlignment="1">
      <alignment horizontal="right"/>
    </xf>
    <xf numFmtId="166" fontId="7" fillId="0" borderId="3" xfId="0" applyNumberFormat="1" applyFont="1" applyBorder="1" applyAlignment="1">
      <alignment horizontal="right"/>
    </xf>
    <xf numFmtId="173" fontId="71" fillId="0" borderId="3" xfId="0" applyNumberFormat="1" applyFont="1" applyBorder="1" applyAlignment="1">
      <alignment horizontal="right"/>
    </xf>
    <xf numFmtId="0" fontId="6" fillId="0" borderId="0" xfId="0" applyFont="1"/>
    <xf numFmtId="0" fontId="40" fillId="0" borderId="16" xfId="0" applyFont="1" applyBorder="1"/>
    <xf numFmtId="0" fontId="6" fillId="13" borderId="3" xfId="0" applyFont="1" applyFill="1" applyBorder="1" applyAlignment="1">
      <alignment vertical="center" wrapText="1"/>
    </xf>
    <xf numFmtId="0" fontId="9" fillId="0" borderId="0" xfId="0" applyFont="1" applyAlignment="1">
      <alignment vertical="center" wrapText="1"/>
    </xf>
    <xf numFmtId="0" fontId="1" fillId="2" borderId="1" xfId="0" applyFont="1" applyFill="1" applyBorder="1" applyAlignment="1">
      <alignment vertical="center" wrapText="1"/>
    </xf>
    <xf numFmtId="0" fontId="2" fillId="2" borderId="0" xfId="0" applyFont="1" applyFill="1" applyAlignment="1">
      <alignment vertical="top" wrapText="1"/>
    </xf>
    <xf numFmtId="0" fontId="48" fillId="3" borderId="2" xfId="0" applyFont="1" applyFill="1" applyBorder="1" applyAlignment="1">
      <alignment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5" xfId="0" applyFont="1" applyBorder="1" applyAlignment="1">
      <alignment horizontal="center" vertical="center" wrapText="1"/>
    </xf>
    <xf numFmtId="0" fontId="1" fillId="2" borderId="0" xfId="0" applyFont="1" applyFill="1" applyAlignment="1">
      <alignment horizontal="left" vertical="center" wrapText="1"/>
    </xf>
    <xf numFmtId="0" fontId="9" fillId="0" borderId="0" xfId="0" applyFont="1" applyAlignment="1">
      <alignment horizontal="left" vertical="center" wrapText="1"/>
    </xf>
    <xf numFmtId="2" fontId="9" fillId="0" borderId="0" xfId="0" applyNumberFormat="1" applyFont="1" applyAlignment="1">
      <alignment vertical="center" wrapText="1"/>
    </xf>
    <xf numFmtId="0" fontId="1" fillId="2" borderId="0" xfId="0" applyFont="1" applyFill="1" applyAlignment="1">
      <alignment horizontal="center" vertical="center" wrapText="1"/>
    </xf>
    <xf numFmtId="0" fontId="10" fillId="0" borderId="4" xfId="0" applyFont="1" applyBorder="1" applyAlignment="1">
      <alignment vertical="center" wrapText="1"/>
    </xf>
    <xf numFmtId="0" fontId="6" fillId="0" borderId="0" xfId="0" applyFont="1" applyAlignment="1">
      <alignment vertical="top" wrapText="1"/>
    </xf>
    <xf numFmtId="0" fontId="50" fillId="2" borderId="0" xfId="0" applyFont="1" applyFill="1" applyAlignment="1">
      <alignment vertical="top" wrapText="1"/>
    </xf>
  </cellXfs>
  <cellStyles count="1">
    <cellStyle name="Normal" xfId="0" builtinId="0"/>
  </cellStyles>
  <dxfs count="5">
    <dxf>
      <font>
        <b/>
        <color rgb="FFFF0000"/>
      </font>
      <fill>
        <patternFill>
          <bgColor rgb="FFFFE8E8"/>
        </patternFill>
      </fill>
    </dxf>
    <dxf>
      <font>
        <b/>
        <color rgb="FF0A2540"/>
      </font>
      <fill>
        <patternFill>
          <bgColor rgb="FFC7D6E2"/>
        </patternFill>
      </fill>
    </dxf>
    <dxf>
      <font>
        <b/>
        <color rgb="FFFFFFFF"/>
      </font>
      <fill>
        <patternFill>
          <bgColor rgb="FF7A94AC"/>
        </patternFill>
      </fill>
    </dxf>
    <dxf>
      <font>
        <b/>
        <color rgb="FFFFFFFF"/>
      </font>
      <fill>
        <patternFill>
          <bgColor rgb="FF2C4C6B"/>
        </patternFill>
      </fill>
    </dxf>
    <dxf>
      <font>
        <b/>
        <color rgb="FFFFFFFF"/>
      </font>
      <fill>
        <patternFill>
          <bgColor rgb="FF0A254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F7F9FB"/>
      <rgbColor rgb="FFC00000"/>
      <rgbColor rgb="FF008000"/>
      <rgbColor rgb="FF000080"/>
      <rgbColor rgb="FFB26B00"/>
      <rgbColor rgb="FF800080"/>
      <rgbColor rgb="FF425466"/>
      <rgbColor rgb="FFBFBFBF"/>
      <rgbColor rgb="FF8A8A8A"/>
      <rgbColor rgb="FF7A94AC"/>
      <rgbColor rgb="FF595959"/>
      <rgbColor rgb="FFFAFBFC"/>
      <rgbColor rgb="FFEEF2F7"/>
      <rgbColor rgb="FF660066"/>
      <rgbColor rgb="FFEFEFEF"/>
      <rgbColor rgb="FF6B5BD6"/>
      <rgbColor rgb="FFC7D6E2"/>
      <rgbColor rgb="FF000080"/>
      <rgbColor rgb="FFFF00FF"/>
      <rgbColor rgb="FFFFE8E8"/>
      <rgbColor rgb="FF00FFFF"/>
      <rgbColor rgb="FF800080"/>
      <rgbColor rgb="FF800000"/>
      <rgbColor rgb="FF008080"/>
      <rgbColor rgb="FF0000FF"/>
      <rgbColor rgb="FF00D4FF"/>
      <rgbColor rgb="FFE2E8F0"/>
      <rgbColor rgb="FFE3E8EE"/>
      <rgbColor rgb="FFFFF3B0"/>
      <rgbColor rgb="FFD0D8E0"/>
      <rgbColor rgb="FFD0D0D0"/>
      <rgbColor rgb="FFB3B3B3"/>
      <rgbColor rgb="FFD9D9D9"/>
      <rgbColor rgb="FF635BFF"/>
      <rgbColor rgb="FFF6F9FC"/>
      <rgbColor rgb="FFF2F2F2"/>
      <rgbColor rgb="FFD8DEE8"/>
      <rgbColor rgb="FFEEECFF"/>
      <rgbColor rgb="FFFF6600"/>
      <rgbColor rgb="FF697386"/>
      <rgbColor rgb="FF8898AA"/>
      <rgbColor rgb="FF0A2540"/>
      <rgbColor rgb="FF339966"/>
      <rgbColor rgb="FF1A1A1A"/>
      <rgbColor rgb="FF1F1F1F"/>
      <rgbColor rgb="FFA32D2D"/>
      <rgbColor rgb="FF555555"/>
      <rgbColor rgb="FF2C4C6B"/>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AI to EV bridge</a:t>
            </a:r>
          </a:p>
        </c:rich>
      </c:tx>
      <c:overlay val="0"/>
      <c:spPr>
        <a:noFill/>
        <a:ln w="0">
          <a:noFill/>
        </a:ln>
      </c:spPr>
    </c:title>
    <c:autoTitleDeleted val="0"/>
    <c:plotArea>
      <c:layout/>
      <c:barChart>
        <c:barDir val="col"/>
        <c:grouping val="stacked"/>
        <c:varyColors val="0"/>
        <c:ser>
          <c:idx val="0"/>
          <c:order val="0"/>
          <c:tx>
            <c:strRef>
              <c:f>'0_AI_to_EV_Bridge'!$C$40</c:f>
              <c:strCache>
                <c:ptCount val="1"/>
                <c:pt idx="0">
                  <c:v>Base</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'0_AI_to_EV_Bridge'!$B$41:$B$45</c:f>
              <c:strCache>
                <c:ptCount val="5"/>
                <c:pt idx="0">
                  <c:v>EV today</c:v>
                </c:pt>
                <c:pt idx="1">
                  <c:v>ARR uplift</c:v>
                </c:pt>
                <c:pt idx="2">
                  <c:v>Multiple uplift</c:v>
                </c:pt>
                <c:pt idx="3">
                  <c:v>Cost</c:v>
                </c:pt>
                <c:pt idx="4">
                  <c:v>New EV</c:v>
                </c:pt>
              </c:strCache>
            </c:strRef>
          </c:cat>
          <c:val>
            <c:numRef>
              <c:f>'0_AI_to_EV_Bridge'!$C$41:$C$45</c:f>
              <c:numCache>
                <c:formatCode>\$#,##0;"($"#,##0\);\-</c:formatCode>
                <c:ptCount val="5"/>
                <c:pt idx="0">
                  <c:v>0</c:v>
                </c:pt>
                <c:pt idx="1">
                  <c:v>11000000000</c:v>
                </c:pt>
                <c:pt idx="2">
                  <c:v>11221302966.133129</c:v>
                </c:pt>
                <c:pt idx="3">
                  <c:v>11501587556.521917</c:v>
                </c:pt>
                <c:pt idx="4">
                  <c:v>0</c:v>
                </c:pt>
              </c:numCache>
            </c:numRef>
          </c:val>
          <c:extLst>
            <c:ext xmlns:c16="http://schemas.microsoft.com/office/drawing/2014/chart" uri="{C3380CC4-5D6E-409C-BE32-E72D297353CC}">
              <c16:uniqueId val="{00000000-AB92-4E0D-B691-6A0339812D3E}"/>
            </c:ext>
          </c:extLst>
        </c:ser>
        <c:ser>
          <c:idx val="1"/>
          <c:order val="1"/>
          <c:tx>
            <c:strRef>
              <c:f>'0_AI_to_EV_Bridge'!$D$40</c:f>
              <c:strCache>
                <c:ptCount val="1"/>
                <c:pt idx="0">
                  <c:v>Value</c:v>
                </c:pt>
              </c:strCache>
            </c:strRef>
          </c:tx>
          <c:spPr>
            <a:solidFill>
              <a:srgbClr val="0A2540"/>
            </a:solidFill>
            <a:ln w="0">
              <a:solidFill>
                <a:srgbClr val="FFFFFF"/>
              </a:solidFill>
            </a:ln>
          </c:spPr>
          <c:invertIfNegative val="0"/>
          <c:dPt>
            <c:idx val="0"/>
            <c:invertIfNegative val="0"/>
            <c:bubble3D val="0"/>
            <c:extLst>
              <c:ext xmlns:c16="http://schemas.microsoft.com/office/drawing/2014/chart" uri="{C3380CC4-5D6E-409C-BE32-E72D297353CC}">
                <c16:uniqueId val="{00000002-AB92-4E0D-B691-6A0339812D3E}"/>
              </c:ext>
            </c:extLst>
          </c:dPt>
          <c:dPt>
            <c:idx val="4"/>
            <c:invertIfNegative val="0"/>
            <c:bubble3D val="0"/>
            <c:extLst>
              <c:ext xmlns:c16="http://schemas.microsoft.com/office/drawing/2014/chart" uri="{C3380CC4-5D6E-409C-BE32-E72D297353CC}">
                <c16:uniqueId val="{00000004-AB92-4E0D-B691-6A0339812D3E}"/>
              </c:ext>
            </c:extLst>
          </c:dPt>
          <c:dLbls>
            <c:dLbl>
              <c:idx val="0"/>
              <c:spPr/>
              <c:txPr>
                <a:bodyPr wrap="square"/>
                <a:lstStyle/>
                <a:p>
                  <a:pPr>
                    <a:defRPr sz="1200" b="1" strike="noStrike" spc="-1">
                      <a:solidFill>
                        <a:srgbClr val="FFFFFF"/>
                      </a:solidFill>
                      <a:latin typeface="Calibri"/>
                    </a:defRPr>
                  </a:pPr>
                  <a:endParaRPr lang="en-US"/>
                </a:p>
              </c:txPr>
              <c:dLblPos val="inEnd"/>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AB92-4E0D-B691-6A0339812D3E}"/>
                </c:ext>
              </c:extLst>
            </c:dLbl>
            <c:dLbl>
              <c:idx val="4"/>
              <c:spPr/>
              <c:txPr>
                <a:bodyPr wrap="square"/>
                <a:lstStyle/>
                <a:p>
                  <a:pPr>
                    <a:defRPr sz="1200" b="1" strike="noStrike" spc="-1">
                      <a:solidFill>
                        <a:srgbClr val="FFFFFF"/>
                      </a:solidFill>
                      <a:latin typeface="Calibri"/>
                    </a:defRPr>
                  </a:pPr>
                  <a:endParaRPr lang="en-US"/>
                </a:p>
              </c:txPr>
              <c:dLblPos val="inEnd"/>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AB92-4E0D-B691-6A0339812D3E}"/>
                </c:ext>
              </c:extLst>
            </c:dLbl>
            <c:spPr>
              <a:noFill/>
              <a:ln>
                <a:noFill/>
              </a:ln>
              <a:effectLst/>
            </c:spPr>
            <c:txPr>
              <a:bodyPr wrap="square"/>
              <a:lstStyle/>
              <a:p>
                <a:pPr>
                  <a:defRPr sz="1000" b="1" strike="noStrike" spc="-1">
                    <a:solidFill>
                      <a:srgbClr val="0A254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'0_AI_to_EV_Bridge'!$B$41:$B$45</c:f>
              <c:strCache>
                <c:ptCount val="5"/>
                <c:pt idx="0">
                  <c:v>EV today</c:v>
                </c:pt>
                <c:pt idx="1">
                  <c:v>ARR uplift</c:v>
                </c:pt>
                <c:pt idx="2">
                  <c:v>Multiple uplift</c:v>
                </c:pt>
                <c:pt idx="3">
                  <c:v>Cost</c:v>
                </c:pt>
                <c:pt idx="4">
                  <c:v>New EV</c:v>
                </c:pt>
              </c:strCache>
            </c:strRef>
          </c:cat>
          <c:val>
            <c:numRef>
              <c:f>'0_AI_to_EV_Bridge'!$D$41:$D$45</c:f>
              <c:numCache>
                <c:formatCode>\$#,##0;"($"#,##0\);\-</c:formatCode>
                <c:ptCount val="5"/>
                <c:pt idx="0">
                  <c:v>11000000000</c:v>
                </c:pt>
                <c:pt idx="1">
                  <c:v>221302966.13312998</c:v>
                </c:pt>
                <c:pt idx="2">
                  <c:v>296579739.13049084</c:v>
                </c:pt>
                <c:pt idx="3">
                  <c:v>16295148.741702899</c:v>
                </c:pt>
                <c:pt idx="4">
                  <c:v>11501587556.521917</c:v>
                </c:pt>
              </c:numCache>
            </c:numRef>
          </c:val>
          <c:extLst>
            <c:ext xmlns:c16="http://schemas.microsoft.com/office/drawing/2014/chart" uri="{C3380CC4-5D6E-409C-BE32-E72D297353CC}">
              <c16:uniqueId val="{00000005-AB92-4E0D-B691-6A0339812D3E}"/>
            </c:ext>
          </c:extLst>
        </c:ser>
        <c:dLbls>
          <c:showLegendKey val="0"/>
          <c:showVal val="0"/>
          <c:showCatName val="0"/>
          <c:showSerName val="0"/>
          <c:showPercent val="0"/>
          <c:showBubbleSize val="0"/>
        </c:dLbls>
        <c:gapWidth val="52"/>
        <c:overlap val="100"/>
        <c:axId val="65987621"/>
        <c:axId val="30357552"/>
      </c:barChart>
      <c:catAx>
        <c:axId val="65987621"/>
        <c:scaling>
          <c:orientation val="minMax"/>
        </c:scaling>
        <c:delete val="0"/>
        <c:axPos val="b"/>
        <c:numFmt formatCode="General" sourceLinked="1"/>
        <c:majorTickMark val="none"/>
        <c:minorTickMark val="none"/>
        <c:tickLblPos val="nextTo"/>
        <c:spPr>
          <a:ln w="9360">
            <a:solidFill>
              <a:srgbClr val="0A2540"/>
            </a:solidFill>
            <a:round/>
          </a:ln>
        </c:spPr>
        <c:txPr>
          <a:bodyPr/>
          <a:lstStyle/>
          <a:p>
            <a:pPr>
              <a:defRPr sz="1000" b="0" strike="noStrike" spc="-1">
                <a:solidFill>
                  <a:srgbClr val="000000"/>
                </a:solidFill>
                <a:latin typeface="Calibri"/>
              </a:defRPr>
            </a:pPr>
            <a:endParaRPr lang="en-US"/>
          </a:p>
        </c:txPr>
        <c:crossAx val="30357552"/>
        <c:crosses val="autoZero"/>
        <c:auto val="1"/>
        <c:lblAlgn val="ctr"/>
        <c:lblOffset val="100"/>
        <c:noMultiLvlLbl val="0"/>
      </c:catAx>
      <c:valAx>
        <c:axId val="30357552"/>
        <c:scaling>
          <c:orientation val="minMax"/>
          <c:max val="11800000000"/>
          <c:min val="10400000000"/>
        </c:scaling>
        <c:delete val="0"/>
        <c:axPos val="l"/>
        <c:majorGridlines>
          <c:spPr>
            <a:ln w="6480">
              <a:solidFill>
                <a:srgbClr val="E3E8EE"/>
              </a:solidFill>
              <a:round/>
            </a:ln>
          </c:spPr>
        </c:majorGridlines>
        <c:numFmt formatCode="\$#,##0,,,\B"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n-US"/>
          </a:p>
        </c:txPr>
        <c:crossAx val="6598762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Share of the value pool realised</a:t>
            </a:r>
          </a:p>
        </c:rich>
      </c:tx>
      <c:overlay val="0"/>
      <c:spPr>
        <a:noFill/>
        <a:ln w="0">
          <a:noFill/>
        </a:ln>
      </c:spPr>
    </c:title>
    <c:autoTitleDeleted val="0"/>
    <c:plotArea>
      <c:layout/>
      <c:lineChart>
        <c:grouping val="standard"/>
        <c:varyColors val="0"/>
        <c:ser>
          <c:idx val="0"/>
          <c:order val="0"/>
          <c:tx>
            <c:strRef>
              <c:f>'7_Value_Timing'!$C$27</c:f>
              <c:strCache>
                <c:ptCount val="1"/>
                <c:pt idx="0">
                  <c:v>$1,821,003</c:v>
                </c:pt>
              </c:strCache>
            </c:strRef>
          </c:tx>
          <c:spPr>
            <a:ln w="0">
              <a:solidFill>
                <a:srgbClr val="635B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'7_Value_Timing'!$B$28:$B$48</c:f>
              <c:strCache>
                <c:ptCount val="21"/>
                <c:pt idx="0">
                  <c:v>0</c:v>
                </c:pt>
                <c:pt idx="1">
                  <c:v>3</c:v>
                </c:pt>
                <c:pt idx="2">
                  <c:v>Month</c:v>
                </c:pt>
                <c:pt idx="3">
                  <c:v>0</c:v>
                </c:pt>
                <c:pt idx="4">
                  <c:v>3</c:v>
                </c:pt>
                <c:pt idx="5">
                  <c:v>6</c:v>
                </c:pt>
                <c:pt idx="6">
                  <c:v>9</c:v>
                </c:pt>
                <c:pt idx="7">
                  <c:v>12</c:v>
                </c:pt>
                <c:pt idx="8">
                  <c:v>15</c:v>
                </c:pt>
                <c:pt idx="9">
                  <c:v>18</c:v>
                </c:pt>
                <c:pt idx="10">
                  <c:v>21</c:v>
                </c:pt>
                <c:pt idx="11">
                  <c:v>24</c:v>
                </c:pt>
                <c:pt idx="12">
                  <c:v>27</c:v>
                </c:pt>
                <c:pt idx="13">
                  <c:v>30</c:v>
                </c:pt>
                <c:pt idx="14">
                  <c:v>33</c:v>
                </c:pt>
                <c:pt idx="15">
                  <c:v>36</c:v>
                </c:pt>
                <c:pt idx="16">
                  <c:v>39</c:v>
                </c:pt>
                <c:pt idx="17">
                  <c:v>42</c:v>
                </c:pt>
                <c:pt idx="18">
                  <c:v>45</c:v>
                </c:pt>
                <c:pt idx="19">
                  <c:v>48</c:v>
                </c:pt>
                <c:pt idx="20">
                  <c:v>51</c:v>
                </c:pt>
              </c:strCache>
            </c:strRef>
          </c:cat>
          <c:val>
            <c:numRef>
              <c:f>'7_Value_Timing'!$C$28:$C$48</c:f>
              <c:numCache>
                <c:formatCode>0.0%</c:formatCode>
                <c:ptCount val="21"/>
                <c:pt idx="0">
                  <c:v>1.3125318337102799E-2</c:v>
                </c:pt>
                <c:pt idx="1">
                  <c:v>2.231343869903224E-2</c:v>
                </c:pt>
                <c:pt idx="2">
                  <c:v>0</c:v>
                </c:pt>
                <c:pt idx="3">
                  <c:v>3.3739963226011582E-2</c:v>
                </c:pt>
                <c:pt idx="4">
                  <c:v>5.0430802802570715E-2</c:v>
                </c:pt>
                <c:pt idx="5">
                  <c:v>7.4739782513959158E-2</c:v>
                </c:pt>
                <c:pt idx="6">
                  <c:v>0.10941615062245871</c:v>
                </c:pt>
                <c:pt idx="7">
                  <c:v>0.15744337511122961</c:v>
                </c:pt>
                <c:pt idx="8">
                  <c:v>0.22131298773577893</c:v>
                </c:pt>
                <c:pt idx="9">
                  <c:v>0.30181128365186932</c:v>
                </c:pt>
                <c:pt idx="10">
                  <c:v>0.396673795655892</c:v>
                </c:pt>
                <c:pt idx="11">
                  <c:v>0.5</c:v>
                </c:pt>
                <c:pt idx="12">
                  <c:v>0.603326204344108</c:v>
                </c:pt>
                <c:pt idx="13">
                  <c:v>0.69818871634813073</c:v>
                </c:pt>
                <c:pt idx="14">
                  <c:v>0.77868701226422099</c:v>
                </c:pt>
                <c:pt idx="15">
                  <c:v>0.84255662488877037</c:v>
                </c:pt>
                <c:pt idx="16">
                  <c:v>0.89058384937754131</c:v>
                </c:pt>
                <c:pt idx="17">
                  <c:v>0.92526021748604093</c:v>
                </c:pt>
                <c:pt idx="18">
                  <c:v>0.94956919719742916</c:v>
                </c:pt>
                <c:pt idx="19">
                  <c:v>0.96626003677398853</c:v>
                </c:pt>
                <c:pt idx="20">
                  <c:v>0.97755734903816227</c:v>
                </c:pt>
              </c:numCache>
            </c:numRef>
          </c:val>
          <c:smooth val="1"/>
          <c:extLst>
            <c:ext xmlns:c16="http://schemas.microsoft.com/office/drawing/2014/chart" uri="{C3380CC4-5D6E-409C-BE32-E72D297353CC}">
              <c16:uniqueId val="{00000000-8B40-40CC-A580-90744DD7D5F6}"/>
            </c:ext>
          </c:extLst>
        </c:ser>
        <c:ser>
          <c:idx val="1"/>
          <c:order val="1"/>
          <c:tx>
            <c:strRef>
              <c:f>'7_Value_Timing'!$D$27</c:f>
              <c:strCache>
                <c:ptCount val="1"/>
                <c:pt idx="0">
                  <c:v>Well-prepared benchmark</c:v>
                </c:pt>
              </c:strCache>
            </c:strRef>
          </c:tx>
          <c:spPr>
            <a:ln w="0">
              <a:solidFill>
                <a:srgbClr val="00D4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'7_Value_Timing'!$B$28:$B$48</c:f>
              <c:strCache>
                <c:ptCount val="21"/>
                <c:pt idx="0">
                  <c:v>0</c:v>
                </c:pt>
                <c:pt idx="1">
                  <c:v>3</c:v>
                </c:pt>
                <c:pt idx="2">
                  <c:v>Month</c:v>
                </c:pt>
                <c:pt idx="3">
                  <c:v>0</c:v>
                </c:pt>
                <c:pt idx="4">
                  <c:v>3</c:v>
                </c:pt>
                <c:pt idx="5">
                  <c:v>6</c:v>
                </c:pt>
                <c:pt idx="6">
                  <c:v>9</c:v>
                </c:pt>
                <c:pt idx="7">
                  <c:v>12</c:v>
                </c:pt>
                <c:pt idx="8">
                  <c:v>15</c:v>
                </c:pt>
                <c:pt idx="9">
                  <c:v>18</c:v>
                </c:pt>
                <c:pt idx="10">
                  <c:v>21</c:v>
                </c:pt>
                <c:pt idx="11">
                  <c:v>24</c:v>
                </c:pt>
                <c:pt idx="12">
                  <c:v>27</c:v>
                </c:pt>
                <c:pt idx="13">
                  <c:v>30</c:v>
                </c:pt>
                <c:pt idx="14">
                  <c:v>33</c:v>
                </c:pt>
                <c:pt idx="15">
                  <c:v>36</c:v>
                </c:pt>
                <c:pt idx="16">
                  <c:v>39</c:v>
                </c:pt>
                <c:pt idx="17">
                  <c:v>42</c:v>
                </c:pt>
                <c:pt idx="18">
                  <c:v>45</c:v>
                </c:pt>
                <c:pt idx="19">
                  <c:v>48</c:v>
                </c:pt>
                <c:pt idx="20">
                  <c:v>51</c:v>
                </c:pt>
              </c:strCache>
            </c:strRef>
          </c:cat>
          <c:val>
            <c:numRef>
              <c:f>'7_Value_Timing'!$D$28:$D$48</c:f>
              <c:numCache>
                <c:formatCode>0.0%</c:formatCode>
                <c:ptCount val="21"/>
                <c:pt idx="0">
                  <c:v>3.768789050860593E-2</c:v>
                </c:pt>
                <c:pt idx="1">
                  <c:v>6.2973356056996513E-2</c:v>
                </c:pt>
                <c:pt idx="2">
                  <c:v>0</c:v>
                </c:pt>
                <c:pt idx="3">
                  <c:v>3.768789050860593E-2</c:v>
                </c:pt>
                <c:pt idx="4">
                  <c:v>6.2973356056996513E-2</c:v>
                </c:pt>
                <c:pt idx="5">
                  <c:v>0.10340045145824957</c:v>
                </c:pt>
                <c:pt idx="6">
                  <c:v>0.16520487019061464</c:v>
                </c:pt>
                <c:pt idx="7">
                  <c:v>0.2535060166623378</c:v>
                </c:pt>
                <c:pt idx="8">
                  <c:v>0.36818758226389831</c:v>
                </c:pt>
                <c:pt idx="9">
                  <c:v>0.5</c:v>
                </c:pt>
                <c:pt idx="10">
                  <c:v>0.63181241773610164</c:v>
                </c:pt>
                <c:pt idx="11">
                  <c:v>0.74649398333766215</c:v>
                </c:pt>
                <c:pt idx="12">
                  <c:v>0.83479512980938542</c:v>
                </c:pt>
                <c:pt idx="13">
                  <c:v>0.89659954854175039</c:v>
                </c:pt>
                <c:pt idx="14">
                  <c:v>0.9370266439430035</c:v>
                </c:pt>
                <c:pt idx="15">
                  <c:v>0.96231210949139412</c:v>
                </c:pt>
                <c:pt idx="16">
                  <c:v>0.97768656130096765</c:v>
                </c:pt>
                <c:pt idx="17">
                  <c:v>0.98687468166289716</c:v>
                </c:pt>
                <c:pt idx="18">
                  <c:v>0.9923091241184917</c:v>
                </c:pt>
                <c:pt idx="19">
                  <c:v>0.99550372683905886</c:v>
                </c:pt>
                <c:pt idx="20">
                  <c:v>0.99737487974333983</c:v>
                </c:pt>
              </c:numCache>
            </c:numRef>
          </c:val>
          <c:smooth val="1"/>
          <c:extLst>
            <c:ext xmlns:c16="http://schemas.microsoft.com/office/drawing/2014/chart" uri="{C3380CC4-5D6E-409C-BE32-E72D297353CC}">
              <c16:uniqueId val="{00000001-8B40-40CC-A580-90744DD7D5F6}"/>
            </c:ext>
          </c:extLst>
        </c:ser>
        <c:dLbls>
          <c:showLegendKey val="0"/>
          <c:showVal val="0"/>
          <c:showCatName val="0"/>
          <c:showSerName val="0"/>
          <c:showPercent val="0"/>
          <c:showBubbleSize val="0"/>
        </c:dLbls>
        <c:hiLowLines>
          <c:spPr>
            <a:ln w="0">
              <a:noFill/>
            </a:ln>
          </c:spPr>
        </c:hiLowLines>
        <c:smooth val="0"/>
        <c:axId val="86729719"/>
        <c:axId val="9612003"/>
      </c:lineChart>
      <c:catAx>
        <c:axId val="86729719"/>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Months from programme start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612003"/>
        <c:crosses val="autoZero"/>
        <c:auto val="1"/>
        <c:lblAlgn val="ctr"/>
        <c:lblOffset val="100"/>
        <c:noMultiLvlLbl val="0"/>
      </c:catAx>
      <c:valAx>
        <c:axId val="961200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Share realised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672971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7</xdr:col>
      <xdr:colOff>582083</xdr:colOff>
      <xdr:row>5</xdr:row>
      <xdr:rowOff>10583</xdr:rowOff>
    </xdr:from>
    <xdr:to>
      <xdr:col>15</xdr:col>
      <xdr:colOff>319769</xdr:colOff>
      <xdr:row>17</xdr:row>
      <xdr:rowOff>145217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1468080</xdr:colOff>
      <xdr:row>0</xdr:row>
      <xdr:rowOff>296280</xdr:rowOff>
    </xdr:to>
    <xdr:pic>
      <xdr:nvPicPr>
        <xdr:cNvPr id="6" name="Image 1" descr="Picture">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15415920" y="0"/>
          <a:ext cx="1468080" cy="2962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25</xdr:row>
      <xdr:rowOff>135000</xdr:rowOff>
    </xdr:from>
    <xdr:to>
      <xdr:col>16</xdr:col>
      <xdr:colOff>548280</xdr:colOff>
      <xdr:row>40</xdr:row>
      <xdr:rowOff>19800</xdr:rowOff>
    </xdr:to>
    <xdr:graphicFrame macro="">
      <xdr:nvGraphicFramePr>
        <xdr:cNvPr id="8" name="Chart 1">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35BFF"/>
    <pageSetUpPr fitToPage="1"/>
  </sheetPr>
  <dimension ref="A1:Q49"/>
  <sheetViews>
    <sheetView showGridLines="0" topLeftCell="A20" zoomScale="90" zoomScaleNormal="90" workbookViewId="0">
      <selection activeCell="E45" sqref="E45"/>
    </sheetView>
  </sheetViews>
  <sheetFormatPr defaultColWidth="8.7109375" defaultRowHeight="15" x14ac:dyDescent="0.25"/>
  <cols>
    <col min="1" max="1" width="9" customWidth="1"/>
    <col min="2" max="2" width="46" customWidth="1"/>
    <col min="3" max="3" width="35.28515625" customWidth="1"/>
    <col min="4" max="4" width="50.42578125" customWidth="1"/>
    <col min="5" max="5" width="49" customWidth="1"/>
    <col min="7" max="18" width="13" customWidth="1"/>
  </cols>
  <sheetData>
    <row r="1" spans="1:17" ht="33.75" customHeight="1" x14ac:dyDescent="0.25">
      <c r="B1" s="2" t="s">
        <v>0</v>
      </c>
    </row>
    <row r="2" spans="1:17" ht="36" customHeight="1" x14ac:dyDescent="0.25">
      <c r="B2" s="500" t="s">
        <v>1</v>
      </c>
      <c r="C2" s="500"/>
    </row>
    <row r="3" spans="1:17" ht="15" customHeight="1" x14ac:dyDescent="0.25">
      <c r="B3" s="500"/>
      <c r="C3" s="500"/>
    </row>
    <row r="4" spans="1:17" ht="18" customHeight="1" x14ac:dyDescent="0.25"/>
    <row r="5" spans="1:17" ht="24" customHeight="1" x14ac:dyDescent="0.25">
      <c r="A5" s="5"/>
      <c r="B5" s="6" t="s">
        <v>2</v>
      </c>
      <c r="C5" s="5"/>
      <c r="D5" s="5"/>
      <c r="E5" s="5"/>
      <c r="F5" s="5"/>
      <c r="G5" s="5"/>
      <c r="H5" s="5"/>
      <c r="I5" s="5"/>
      <c r="J5" s="5"/>
      <c r="K5" s="5"/>
      <c r="L5" s="5"/>
      <c r="M5" s="5"/>
      <c r="N5" s="5"/>
      <c r="O5" s="5"/>
      <c r="P5" s="5"/>
      <c r="Q5" s="5"/>
    </row>
    <row r="6" spans="1:17" ht="27.75" customHeight="1" x14ac:dyDescent="0.25">
      <c r="B6" s="7" t="s">
        <v>3</v>
      </c>
      <c r="C6" s="8" t="s">
        <v>4</v>
      </c>
      <c r="D6" s="9"/>
      <c r="E6" s="10" t="s">
        <v>5</v>
      </c>
      <c r="F6" s="9"/>
      <c r="G6" s="9"/>
    </row>
    <row r="7" spans="1:17" ht="19.5" customHeight="1" x14ac:dyDescent="0.25">
      <c r="B7" s="11" t="s">
        <v>6</v>
      </c>
      <c r="C7" s="12">
        <v>11000000000</v>
      </c>
      <c r="D7" s="9"/>
      <c r="E7" s="13" t="s">
        <v>7</v>
      </c>
      <c r="F7" s="9"/>
      <c r="G7" s="9"/>
    </row>
    <row r="8" spans="1:17" ht="19.5" customHeight="1" x14ac:dyDescent="0.25">
      <c r="B8" s="7" t="s">
        <v>8</v>
      </c>
      <c r="C8" s="12">
        <v>1200000000</v>
      </c>
      <c r="D8" s="9"/>
      <c r="E8" s="10" t="s">
        <v>9</v>
      </c>
      <c r="F8" s="9"/>
      <c r="G8" s="9"/>
    </row>
    <row r="9" spans="1:17" ht="19.5" customHeight="1" x14ac:dyDescent="0.25">
      <c r="B9" s="11" t="s">
        <v>10</v>
      </c>
      <c r="C9" s="14">
        <f>'4b_Value_Pools_by_Capability'!$D$6</f>
        <v>1500000000</v>
      </c>
      <c r="D9" s="9"/>
      <c r="E9" s="13" t="s">
        <v>11</v>
      </c>
      <c r="F9" s="9"/>
      <c r="G9" s="9"/>
    </row>
    <row r="10" spans="1:17" ht="25.5" customHeight="1" x14ac:dyDescent="0.25">
      <c r="B10" s="15" t="s">
        <v>12</v>
      </c>
      <c r="C10" s="16">
        <v>0.42</v>
      </c>
      <c r="D10" s="9"/>
      <c r="E10" s="13" t="s">
        <v>13</v>
      </c>
      <c r="F10" s="9"/>
      <c r="G10" s="9"/>
    </row>
    <row r="11" spans="1:17" ht="19.5" customHeight="1" x14ac:dyDescent="0.25">
      <c r="A11" s="5"/>
      <c r="B11" s="17" t="s">
        <v>14</v>
      </c>
      <c r="C11" s="18">
        <f>IF($C$6="EBITDA",$C$9*$C$10,$C$8)</f>
        <v>1200000000</v>
      </c>
      <c r="D11" s="19"/>
      <c r="E11" s="20" t="s">
        <v>15</v>
      </c>
      <c r="F11" s="19"/>
      <c r="G11" s="19"/>
      <c r="H11" s="5"/>
      <c r="I11" s="5"/>
      <c r="J11" s="5"/>
      <c r="K11" s="5"/>
      <c r="L11" s="5"/>
      <c r="M11" s="5"/>
      <c r="N11" s="5"/>
      <c r="O11" s="5"/>
      <c r="P11" s="5"/>
      <c r="Q11" s="5"/>
    </row>
    <row r="12" spans="1:17" ht="19.5" customHeight="1" x14ac:dyDescent="0.25">
      <c r="B12" s="21" t="s">
        <v>16</v>
      </c>
      <c r="C12" s="22">
        <f>IFERROR($C$7/$C$11,0)</f>
        <v>9.1666666666666661</v>
      </c>
      <c r="D12" s="9"/>
      <c r="E12" s="10" t="s">
        <v>17</v>
      </c>
      <c r="F12" s="9"/>
      <c r="G12" s="9"/>
    </row>
    <row r="13" spans="1:17" ht="19.5" customHeight="1" x14ac:dyDescent="0.25">
      <c r="B13" s="11" t="s">
        <v>18</v>
      </c>
      <c r="C13" s="23" t="str">
        <f>'4b_Value_Pools_by_Capability'!$D$4</f>
        <v>Vertical SaaS</v>
      </c>
      <c r="D13" s="9"/>
      <c r="E13" s="13" t="s">
        <v>19</v>
      </c>
      <c r="F13" s="9"/>
      <c r="G13" s="9"/>
    </row>
    <row r="14" spans="1:17" ht="19.5" customHeight="1" x14ac:dyDescent="0.25">
      <c r="B14" s="7"/>
      <c r="C14" s="24"/>
      <c r="D14" s="9"/>
      <c r="E14" s="10"/>
      <c r="F14" s="9"/>
      <c r="G14" s="9"/>
    </row>
    <row r="15" spans="1:17" ht="15" customHeight="1" x14ac:dyDescent="0.25">
      <c r="B15" s="3"/>
      <c r="C15" s="25"/>
      <c r="E15" s="3"/>
    </row>
    <row r="16" spans="1:17" ht="15" customHeight="1" x14ac:dyDescent="0.25">
      <c r="B16" s="26" t="s">
        <v>20</v>
      </c>
      <c r="C16" s="27"/>
      <c r="E16" s="28"/>
    </row>
    <row r="17" spans="1:17" ht="18" customHeight="1" x14ac:dyDescent="0.25"/>
    <row r="18" spans="1:17" ht="24" customHeight="1" x14ac:dyDescent="0.25">
      <c r="A18" s="5"/>
      <c r="B18" s="29" t="s">
        <v>21</v>
      </c>
      <c r="C18" s="5"/>
      <c r="D18" s="5"/>
      <c r="E18" s="5"/>
      <c r="F18" s="5"/>
      <c r="G18" s="5"/>
      <c r="H18" s="5"/>
      <c r="I18" s="5"/>
      <c r="J18" s="5"/>
      <c r="K18" s="5"/>
      <c r="L18" s="5"/>
      <c r="M18" s="5"/>
      <c r="N18" s="5"/>
      <c r="O18" s="5"/>
      <c r="P18" s="5"/>
      <c r="Q18" s="5"/>
    </row>
    <row r="19" spans="1:17" ht="25.5" customHeight="1" x14ac:dyDescent="0.25">
      <c r="B19" s="30" t="s">
        <v>22</v>
      </c>
      <c r="C19" s="31"/>
      <c r="E19" s="3"/>
    </row>
    <row r="20" spans="1:17" ht="24" customHeight="1" x14ac:dyDescent="0.25">
      <c r="B20" s="28"/>
      <c r="C20" s="32"/>
      <c r="E20" s="33"/>
    </row>
    <row r="21" spans="1:17" ht="18" customHeight="1" x14ac:dyDescent="0.25">
      <c r="B21" s="34" t="s">
        <v>23</v>
      </c>
      <c r="C21" s="35">
        <f>$C$7</f>
        <v>11000000000</v>
      </c>
      <c r="D21" s="9"/>
      <c r="E21" s="13" t="s">
        <v>24</v>
      </c>
      <c r="F21" s="9"/>
      <c r="G21" s="9"/>
    </row>
    <row r="22" spans="1:17" ht="18" customHeight="1" x14ac:dyDescent="0.25">
      <c r="B22" s="36" t="s">
        <v>25</v>
      </c>
      <c r="C22" s="37">
        <f>('8_Enterprise_Value'!$C$35-'8_Enterprise_Value'!$C$25)*'8_Enterprise_Value'!$D$33</f>
        <v>221302966.13312998</v>
      </c>
      <c r="D22" s="9"/>
      <c r="E22" s="10" t="s">
        <v>26</v>
      </c>
      <c r="F22" s="9"/>
      <c r="G22" s="38"/>
    </row>
    <row r="23" spans="1:17" ht="18" customHeight="1" x14ac:dyDescent="0.25">
      <c r="B23" s="39" t="s">
        <v>27</v>
      </c>
      <c r="C23" s="40">
        <f>'8_Enterprise_Value'!$C$35*('8_Enterprise_Value'!$D$35-'8_Enterprise_Value'!$D$33)</f>
        <v>296579739.13049084</v>
      </c>
      <c r="D23" s="9"/>
      <c r="E23" s="13" t="s">
        <v>28</v>
      </c>
      <c r="F23" s="9"/>
      <c r="G23" s="41"/>
      <c r="I23" s="42"/>
      <c r="J23" s="43"/>
      <c r="K23" s="42"/>
      <c r="M23" s="43" t="s">
        <v>29</v>
      </c>
      <c r="O23" s="42"/>
      <c r="P23" s="43" t="s">
        <v>29</v>
      </c>
      <c r="Q23" s="42"/>
    </row>
    <row r="24" spans="1:17" ht="18" customHeight="1" x14ac:dyDescent="0.3">
      <c r="B24" s="44" t="s">
        <v>30</v>
      </c>
      <c r="C24" s="40">
        <v>-16295148.741702899</v>
      </c>
      <c r="D24" s="9"/>
      <c r="E24" s="10" t="s">
        <v>31</v>
      </c>
      <c r="F24" s="9"/>
      <c r="G24" s="45"/>
      <c r="I24" s="46"/>
      <c r="J24" s="47"/>
      <c r="K24" s="46"/>
      <c r="M24" s="47">
        <f>$C$26</f>
        <v>0</v>
      </c>
      <c r="O24" s="46"/>
      <c r="P24" s="47">
        <f>$C$26</f>
        <v>0</v>
      </c>
      <c r="Q24" s="48"/>
    </row>
    <row r="25" spans="1:17" ht="18" customHeight="1" x14ac:dyDescent="0.25">
      <c r="B25" s="49" t="s">
        <v>32</v>
      </c>
      <c r="C25" s="50">
        <f>SUM($C$21:$C$24)</f>
        <v>11501587556.521917</v>
      </c>
      <c r="D25" s="51"/>
      <c r="E25" s="52" t="s">
        <v>33</v>
      </c>
      <c r="F25" s="51"/>
      <c r="G25" s="51"/>
    </row>
    <row r="26" spans="1:17" ht="15" customHeight="1" x14ac:dyDescent="0.25">
      <c r="B26" s="53"/>
      <c r="C26" s="54"/>
      <c r="E26" s="28"/>
      <c r="G26" s="28"/>
    </row>
    <row r="27" spans="1:17" ht="15" customHeight="1" x14ac:dyDescent="0.25">
      <c r="B27" s="11" t="s">
        <v>34</v>
      </c>
      <c r="C27" s="55">
        <f>IFERROR(($C$25-$C$21)/$C$21,0)</f>
        <v>4.5598868774719761E-2</v>
      </c>
      <c r="D27" s="9"/>
      <c r="E27" s="56"/>
      <c r="F27" s="9"/>
      <c r="G27" s="9"/>
    </row>
    <row r="28" spans="1:17" ht="15" customHeight="1" x14ac:dyDescent="0.25">
      <c r="B28" s="7" t="s">
        <v>35</v>
      </c>
      <c r="C28" s="57">
        <f>'8_Enterprise_Value'!$C$38</f>
        <v>30.781403991621293</v>
      </c>
      <c r="D28" s="9"/>
      <c r="E28" s="58"/>
      <c r="F28" s="9"/>
      <c r="G28" s="9"/>
    </row>
    <row r="29" spans="1:17" ht="18" customHeight="1" x14ac:dyDescent="0.25">
      <c r="B29" s="15" t="s">
        <v>36</v>
      </c>
      <c r="C29" s="59" t="str">
        <f>IF(ROUND($C$25,0)=ROUND('8_Enterprise_Value'!$E$35-'8_Enterprise_Value'!$C$29,0),"Ties","CHECK")</f>
        <v>Ties</v>
      </c>
      <c r="D29" s="9"/>
      <c r="E29" s="9"/>
      <c r="F29" s="9"/>
      <c r="G29" s="9"/>
    </row>
    <row r="30" spans="1:17" ht="15" customHeight="1" x14ac:dyDescent="0.25">
      <c r="B30" s="60"/>
      <c r="C30" s="61"/>
      <c r="D30" s="61"/>
      <c r="E30" s="61"/>
    </row>
    <row r="31" spans="1:17" ht="15" customHeight="1" x14ac:dyDescent="0.25">
      <c r="B31" s="3"/>
      <c r="C31" s="62"/>
      <c r="E31" s="3"/>
    </row>
    <row r="32" spans="1:17" ht="24" customHeight="1" x14ac:dyDescent="0.25">
      <c r="B32" s="53"/>
      <c r="C32" s="32"/>
      <c r="E32" s="28"/>
    </row>
    <row r="33" spans="2:5" ht="15" customHeight="1" x14ac:dyDescent="0.25">
      <c r="B33" s="3"/>
      <c r="C33" s="63"/>
      <c r="E33" s="3"/>
    </row>
    <row r="34" spans="2:5" ht="15" customHeight="1" x14ac:dyDescent="0.25">
      <c r="B34" s="498"/>
      <c r="C34" s="498"/>
    </row>
    <row r="35" spans="2:5" ht="15" customHeight="1" x14ac:dyDescent="0.25">
      <c r="B35" s="498"/>
      <c r="C35" s="498"/>
    </row>
    <row r="36" spans="2:5" ht="18" customHeight="1" x14ac:dyDescent="0.25"/>
    <row r="37" spans="2:5" ht="18" customHeight="1" x14ac:dyDescent="0.25"/>
    <row r="38" spans="2:5" ht="15" customHeight="1" x14ac:dyDescent="0.25">
      <c r="B38" s="64"/>
    </row>
    <row r="39" spans="2:5" ht="15" customHeight="1" x14ac:dyDescent="0.25">
      <c r="B39" s="65" t="s">
        <v>37</v>
      </c>
      <c r="C39" s="64"/>
      <c r="D39" s="64"/>
    </row>
    <row r="40" spans="2:5" ht="15" customHeight="1" x14ac:dyDescent="0.25">
      <c r="B40" s="28"/>
      <c r="C40" s="66" t="s">
        <v>38</v>
      </c>
      <c r="D40" s="67" t="s">
        <v>39</v>
      </c>
    </row>
    <row r="41" spans="2:5" ht="15" customHeight="1" x14ac:dyDescent="0.25">
      <c r="B41" s="3" t="s">
        <v>40</v>
      </c>
      <c r="C41" s="68">
        <v>0</v>
      </c>
      <c r="D41" s="68">
        <f>$C$21</f>
        <v>11000000000</v>
      </c>
    </row>
    <row r="42" spans="2:5" ht="15" customHeight="1" x14ac:dyDescent="0.25">
      <c r="B42" s="28" t="s">
        <v>41</v>
      </c>
      <c r="C42" s="67">
        <f>$C$21</f>
        <v>11000000000</v>
      </c>
      <c r="D42" s="67">
        <f>$C$22</f>
        <v>221302966.13312998</v>
      </c>
    </row>
    <row r="43" spans="2:5" ht="15" customHeight="1" x14ac:dyDescent="0.25">
      <c r="B43" s="3" t="s">
        <v>42</v>
      </c>
      <c r="C43" s="68">
        <f>$C$21+$C$22</f>
        <v>11221302966.133129</v>
      </c>
      <c r="D43" s="68">
        <f>$C$23</f>
        <v>296579739.13049084</v>
      </c>
    </row>
    <row r="44" spans="2:5" ht="15" customHeight="1" x14ac:dyDescent="0.25">
      <c r="B44" s="69" t="s">
        <v>43</v>
      </c>
      <c r="C44" s="70">
        <f>$C$25</f>
        <v>11501587556.521917</v>
      </c>
      <c r="D44" s="70">
        <f>-$C$24</f>
        <v>16295148.741702899</v>
      </c>
    </row>
    <row r="45" spans="2:5" ht="15" customHeight="1" x14ac:dyDescent="0.25">
      <c r="B45" s="69" t="s">
        <v>29</v>
      </c>
      <c r="C45" s="70">
        <v>0</v>
      </c>
      <c r="D45" s="70">
        <f>$C$25</f>
        <v>11501587556.521917</v>
      </c>
    </row>
    <row r="46" spans="2:5" ht="15" customHeight="1" x14ac:dyDescent="0.25">
      <c r="B46" s="69"/>
      <c r="C46" s="71"/>
      <c r="D46" s="70"/>
    </row>
    <row r="47" spans="2:5" ht="24" customHeight="1" x14ac:dyDescent="0.25">
      <c r="B47" s="72" t="s">
        <v>44</v>
      </c>
      <c r="D47" s="70"/>
    </row>
    <row r="49" ht="15" customHeight="1" x14ac:dyDescent="0.25"/>
  </sheetData>
  <mergeCells count="2">
    <mergeCell ref="B2:C3"/>
    <mergeCell ref="B34:C35"/>
  </mergeCells>
  <dataValidations count="1">
    <dataValidation type="list" showInputMessage="1" promptTitle="Basis at entry" prompt="How the deal was actually struck. Record it, do not re-judge it. Thoma Bravo paid 18.1x revenue for Anaplan in 2022 because it was loss-making. Once set, every scenario in the workbook reports on this basis." sqref="C6" xr:uid="{00000000-0002-0000-0000-000000000000}">
      <formula1>"ARR,EBITDA"</formula1>
      <formula2>0</formula2>
    </dataValidation>
  </dataValidations>
  <pageMargins left="0.75" right="0.75" top="1" bottom="1" header="0.511811023622047" footer="0.511811023622047"/>
  <pageSetup paperSize="9"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A2540"/>
    <pageSetUpPr fitToPage="1"/>
  </sheetPr>
  <dimension ref="B1:J110"/>
  <sheetViews>
    <sheetView showGridLines="0" zoomScale="90" zoomScaleNormal="90" workbookViewId="0">
      <pane xSplit="3" ySplit="5" topLeftCell="D6" activePane="bottomRight" state="frozen"/>
      <selection pane="topRight" activeCell="D1" sqref="D1"/>
      <selection pane="bottomLeft" activeCell="A6" sqref="A6"/>
      <selection pane="bottomRight"/>
    </sheetView>
  </sheetViews>
  <sheetFormatPr defaultColWidth="8.7109375" defaultRowHeight="15" x14ac:dyDescent="0.25"/>
  <cols>
    <col min="2" max="2" width="49.7109375" customWidth="1"/>
    <col min="3" max="3" width="22" customWidth="1"/>
    <col min="4" max="4" width="34" customWidth="1"/>
    <col min="5" max="5" width="23.85546875" customWidth="1"/>
    <col min="6" max="6" width="34" customWidth="1"/>
    <col min="7" max="7" width="28.85546875" customWidth="1"/>
    <col min="8" max="8" width="36" customWidth="1"/>
  </cols>
  <sheetData>
    <row r="1" spans="2:8" ht="18" customHeight="1" x14ac:dyDescent="0.25"/>
    <row r="2" spans="2:8" ht="106.5" customHeight="1" x14ac:dyDescent="0.25">
      <c r="B2" s="507" t="s">
        <v>45</v>
      </c>
      <c r="C2" s="507"/>
      <c r="D2" s="507"/>
    </row>
    <row r="3" spans="2:8" ht="36" customHeight="1" x14ac:dyDescent="0.25">
      <c r="B3" s="500" t="s">
        <v>46</v>
      </c>
      <c r="C3" s="500"/>
      <c r="D3" s="500"/>
      <c r="E3" s="500"/>
      <c r="F3" s="500"/>
      <c r="G3" s="500"/>
      <c r="H3" s="500"/>
    </row>
    <row r="4" spans="2:8" ht="18" customHeight="1" x14ac:dyDescent="0.25"/>
    <row r="5" spans="2:8" ht="15" customHeight="1" x14ac:dyDescent="0.25">
      <c r="B5" s="73" t="s">
        <v>47</v>
      </c>
      <c r="C5" s="73" t="s">
        <v>48</v>
      </c>
      <c r="D5" s="73" t="s">
        <v>4</v>
      </c>
      <c r="E5" s="73" t="s">
        <v>49</v>
      </c>
      <c r="F5" s="73" t="s">
        <v>50</v>
      </c>
      <c r="G5" s="73" t="s">
        <v>51</v>
      </c>
    </row>
    <row r="6" spans="2:8" ht="15" customHeight="1" x14ac:dyDescent="0.25">
      <c r="B6" s="74" t="s">
        <v>52</v>
      </c>
      <c r="C6" s="75" t="s">
        <v>53</v>
      </c>
      <c r="D6" s="75" t="s">
        <v>54</v>
      </c>
      <c r="E6" s="75" t="s">
        <v>55</v>
      </c>
      <c r="F6" s="75" t="s">
        <v>56</v>
      </c>
      <c r="G6" s="75" t="s">
        <v>57</v>
      </c>
    </row>
    <row r="7" spans="2:8" ht="15" customHeight="1" x14ac:dyDescent="0.25">
      <c r="B7" s="76" t="s">
        <v>58</v>
      </c>
      <c r="C7" s="77" t="s">
        <v>59</v>
      </c>
      <c r="D7" s="77" t="s">
        <v>60</v>
      </c>
      <c r="E7" s="77" t="s">
        <v>61</v>
      </c>
      <c r="F7" s="77" t="s">
        <v>62</v>
      </c>
      <c r="G7" s="77" t="s">
        <v>63</v>
      </c>
    </row>
    <row r="8" spans="2:8" ht="15" customHeight="1" x14ac:dyDescent="0.25">
      <c r="B8" s="74" t="s">
        <v>64</v>
      </c>
      <c r="C8" s="75" t="s">
        <v>65</v>
      </c>
      <c r="D8" s="75" t="s">
        <v>66</v>
      </c>
      <c r="E8" s="75" t="s">
        <v>67</v>
      </c>
      <c r="F8" s="75" t="s">
        <v>68</v>
      </c>
      <c r="G8" s="75" t="s">
        <v>69</v>
      </c>
    </row>
    <row r="9" spans="2:8" ht="15" customHeight="1" x14ac:dyDescent="0.25">
      <c r="B9" s="76" t="s">
        <v>70</v>
      </c>
      <c r="C9" s="77" t="s">
        <v>71</v>
      </c>
      <c r="D9" s="77" t="s">
        <v>72</v>
      </c>
      <c r="E9" s="77" t="s">
        <v>73</v>
      </c>
      <c r="F9" s="77" t="s">
        <v>68</v>
      </c>
      <c r="G9" s="77" t="s">
        <v>74</v>
      </c>
    </row>
    <row r="10" spans="2:8" ht="15" customHeight="1" x14ac:dyDescent="0.25">
      <c r="B10" s="74" t="s">
        <v>75</v>
      </c>
      <c r="C10" s="75" t="s">
        <v>76</v>
      </c>
      <c r="D10" s="75" t="s">
        <v>77</v>
      </c>
      <c r="E10" s="75" t="s">
        <v>78</v>
      </c>
      <c r="F10" s="75" t="s">
        <v>79</v>
      </c>
      <c r="G10" s="75" t="s">
        <v>57</v>
      </c>
    </row>
    <row r="11" spans="2:8" ht="31.5" customHeight="1" x14ac:dyDescent="0.25">
      <c r="B11" s="498" t="s">
        <v>80</v>
      </c>
      <c r="C11" s="498"/>
      <c r="D11" s="498"/>
      <c r="E11" s="498"/>
      <c r="F11" s="498"/>
      <c r="G11" s="498"/>
    </row>
    <row r="12" spans="2:8" ht="18" customHeight="1" x14ac:dyDescent="0.25"/>
    <row r="13" spans="2:8" ht="15" customHeight="1" x14ac:dyDescent="0.25">
      <c r="B13" s="64" t="s">
        <v>81</v>
      </c>
    </row>
    <row r="14" spans="2:8" ht="15" customHeight="1" x14ac:dyDescent="0.25">
      <c r="B14" s="78" t="s">
        <v>82</v>
      </c>
      <c r="C14" s="78" t="s">
        <v>83</v>
      </c>
      <c r="D14" s="78" t="s">
        <v>84</v>
      </c>
      <c r="E14" s="78" t="s">
        <v>85</v>
      </c>
      <c r="F14" s="78" t="s">
        <v>86</v>
      </c>
      <c r="G14" s="78" t="s">
        <v>87</v>
      </c>
    </row>
    <row r="15" spans="2:8" ht="61.5" customHeight="1" x14ac:dyDescent="0.25">
      <c r="B15" s="63" t="s">
        <v>88</v>
      </c>
      <c r="C15" s="63" t="s">
        <v>89</v>
      </c>
      <c r="D15" s="79" t="s">
        <v>90</v>
      </c>
      <c r="E15" s="80">
        <v>10</v>
      </c>
      <c r="F15" s="79" t="s">
        <v>91</v>
      </c>
      <c r="G15" s="79" t="s">
        <v>92</v>
      </c>
    </row>
    <row r="16" spans="2:8" ht="61.5" customHeight="1" x14ac:dyDescent="0.25">
      <c r="B16" s="74" t="s">
        <v>93</v>
      </c>
      <c r="C16" s="74" t="s">
        <v>94</v>
      </c>
      <c r="D16" s="75" t="s">
        <v>95</v>
      </c>
      <c r="E16" s="80">
        <v>9</v>
      </c>
      <c r="F16" s="75" t="s">
        <v>96</v>
      </c>
      <c r="G16" s="75" t="s">
        <v>97</v>
      </c>
    </row>
    <row r="17" spans="2:8" ht="61.5" customHeight="1" x14ac:dyDescent="0.25">
      <c r="B17" s="63" t="s">
        <v>98</v>
      </c>
      <c r="C17" s="63" t="s">
        <v>99</v>
      </c>
      <c r="D17" s="79" t="s">
        <v>100</v>
      </c>
      <c r="E17" s="80">
        <v>9.5</v>
      </c>
      <c r="F17" s="79" t="s">
        <v>101</v>
      </c>
      <c r="G17" s="79" t="s">
        <v>102</v>
      </c>
    </row>
    <row r="18" spans="2:8" ht="61.5" customHeight="1" x14ac:dyDescent="0.25">
      <c r="B18" s="74" t="s">
        <v>103</v>
      </c>
      <c r="C18" s="74" t="s">
        <v>104</v>
      </c>
      <c r="D18" s="75" t="s">
        <v>105</v>
      </c>
      <c r="E18" s="80">
        <v>9</v>
      </c>
      <c r="F18" s="75" t="s">
        <v>106</v>
      </c>
      <c r="G18" s="75" t="s">
        <v>107</v>
      </c>
    </row>
    <row r="19" spans="2:8" ht="61.5" customHeight="1" x14ac:dyDescent="0.25">
      <c r="B19" s="63" t="s">
        <v>108</v>
      </c>
      <c r="C19" s="63" t="s">
        <v>109</v>
      </c>
      <c r="D19" s="79" t="s">
        <v>110</v>
      </c>
      <c r="E19" s="80">
        <v>10</v>
      </c>
      <c r="F19" s="79" t="s">
        <v>111</v>
      </c>
      <c r="G19" s="79" t="s">
        <v>112</v>
      </c>
    </row>
    <row r="20" spans="2:8" ht="61.5" customHeight="1" x14ac:dyDescent="0.25">
      <c r="B20" s="74" t="s">
        <v>113</v>
      </c>
      <c r="C20" s="74" t="s">
        <v>114</v>
      </c>
      <c r="D20" s="75" t="s">
        <v>115</v>
      </c>
      <c r="E20" s="80">
        <v>8.5</v>
      </c>
      <c r="F20" s="75" t="s">
        <v>116</v>
      </c>
      <c r="G20" s="75" t="s">
        <v>117</v>
      </c>
    </row>
    <row r="21" spans="2:8" ht="15" customHeight="1" x14ac:dyDescent="0.25">
      <c r="B21" s="81"/>
      <c r="C21" s="76" t="s">
        <v>118</v>
      </c>
      <c r="D21" s="81"/>
      <c r="E21" s="82">
        <f>AVERAGE(E15:E20)</f>
        <v>9.3333333333333339</v>
      </c>
      <c r="F21" s="81"/>
      <c r="G21" s="81"/>
    </row>
    <row r="22" spans="2:8" ht="18" customHeight="1" x14ac:dyDescent="0.25"/>
    <row r="23" spans="2:8" ht="15" customHeight="1" x14ac:dyDescent="0.25">
      <c r="B23" s="64" t="s">
        <v>119</v>
      </c>
      <c r="D23" s="83"/>
    </row>
    <row r="24" spans="2:8" ht="21.75" customHeight="1" x14ac:dyDescent="0.25">
      <c r="B24" s="3" t="s">
        <v>120</v>
      </c>
      <c r="C24" s="84"/>
      <c r="D24" s="84"/>
      <c r="E24" s="84"/>
      <c r="F24" s="84"/>
      <c r="G24" s="84"/>
    </row>
    <row r="25" spans="2:8" ht="61.5" customHeight="1" x14ac:dyDescent="0.25">
      <c r="B25" s="84"/>
      <c r="C25" s="84"/>
      <c r="D25" s="84"/>
      <c r="E25" s="84"/>
      <c r="F25" s="84"/>
      <c r="G25" s="84"/>
    </row>
    <row r="26" spans="2:8" ht="55.5" customHeight="1" x14ac:dyDescent="0.25">
      <c r="B26" s="85" t="s">
        <v>121</v>
      </c>
      <c r="C26" s="85" t="s">
        <v>83</v>
      </c>
      <c r="D26" s="85" t="s">
        <v>122</v>
      </c>
      <c r="E26" s="85" t="s">
        <v>123</v>
      </c>
      <c r="F26" s="85" t="s">
        <v>124</v>
      </c>
      <c r="G26" s="85" t="s">
        <v>125</v>
      </c>
      <c r="H26" s="85" t="s">
        <v>126</v>
      </c>
    </row>
    <row r="27" spans="2:8" ht="42" customHeight="1" x14ac:dyDescent="0.25">
      <c r="B27" s="504" t="s">
        <v>127</v>
      </c>
      <c r="C27" s="86" t="s">
        <v>89</v>
      </c>
      <c r="D27" s="86" t="s">
        <v>128</v>
      </c>
      <c r="E27" s="86" t="s">
        <v>129</v>
      </c>
      <c r="F27" s="86" t="s">
        <v>130</v>
      </c>
      <c r="G27" s="86" t="s">
        <v>131</v>
      </c>
      <c r="H27" s="86" t="s">
        <v>132</v>
      </c>
    </row>
    <row r="28" spans="2:8" ht="42" customHeight="1" x14ac:dyDescent="0.25">
      <c r="B28" s="504"/>
      <c r="C28" s="86" t="s">
        <v>94</v>
      </c>
      <c r="D28" s="86" t="s">
        <v>133</v>
      </c>
      <c r="E28" s="86" t="s">
        <v>134</v>
      </c>
      <c r="F28" s="86" t="s">
        <v>135</v>
      </c>
      <c r="G28" s="86" t="s">
        <v>136</v>
      </c>
      <c r="H28" s="86" t="s">
        <v>137</v>
      </c>
    </row>
    <row r="29" spans="2:8" ht="42" customHeight="1" x14ac:dyDescent="0.25">
      <c r="B29" s="504"/>
      <c r="C29" s="86" t="s">
        <v>99</v>
      </c>
      <c r="D29" s="86" t="s">
        <v>138</v>
      </c>
      <c r="E29" s="86" t="s">
        <v>139</v>
      </c>
      <c r="F29" s="86" t="s">
        <v>140</v>
      </c>
      <c r="G29" s="86" t="s">
        <v>141</v>
      </c>
      <c r="H29" s="86" t="s">
        <v>142</v>
      </c>
    </row>
    <row r="30" spans="2:8" ht="42" customHeight="1" x14ac:dyDescent="0.25">
      <c r="B30" s="504"/>
      <c r="C30" s="86" t="s">
        <v>104</v>
      </c>
      <c r="D30" s="86" t="s">
        <v>143</v>
      </c>
      <c r="E30" s="86" t="s">
        <v>144</v>
      </c>
      <c r="F30" s="86" t="s">
        <v>145</v>
      </c>
      <c r="G30" s="86" t="s">
        <v>146</v>
      </c>
      <c r="H30" s="86" t="s">
        <v>147</v>
      </c>
    </row>
    <row r="31" spans="2:8" ht="42" customHeight="1" x14ac:dyDescent="0.25">
      <c r="B31" s="504"/>
      <c r="C31" s="86" t="s">
        <v>109</v>
      </c>
      <c r="D31" s="86" t="s">
        <v>148</v>
      </c>
      <c r="E31" s="86" t="s">
        <v>149</v>
      </c>
      <c r="F31" s="86" t="s">
        <v>150</v>
      </c>
      <c r="G31" s="86" t="s">
        <v>151</v>
      </c>
      <c r="H31" s="86" t="s">
        <v>152</v>
      </c>
    </row>
    <row r="32" spans="2:8" ht="42" customHeight="1" x14ac:dyDescent="0.25">
      <c r="B32" s="504"/>
      <c r="C32" s="86" t="s">
        <v>114</v>
      </c>
      <c r="D32" s="86" t="s">
        <v>153</v>
      </c>
      <c r="E32" s="86" t="s">
        <v>154</v>
      </c>
      <c r="F32" s="86" t="s">
        <v>155</v>
      </c>
      <c r="G32" s="86" t="s">
        <v>156</v>
      </c>
      <c r="H32" s="86" t="s">
        <v>157</v>
      </c>
    </row>
    <row r="33" spans="2:8" ht="42" customHeight="1" x14ac:dyDescent="0.25">
      <c r="B33" s="504" t="s">
        <v>158</v>
      </c>
      <c r="C33" s="86" t="s">
        <v>89</v>
      </c>
      <c r="D33" s="86" t="s">
        <v>159</v>
      </c>
      <c r="E33" s="86" t="s">
        <v>160</v>
      </c>
      <c r="F33" s="86" t="s">
        <v>161</v>
      </c>
      <c r="G33" s="86" t="s">
        <v>162</v>
      </c>
      <c r="H33" s="86" t="s">
        <v>163</v>
      </c>
    </row>
    <row r="34" spans="2:8" ht="42" customHeight="1" x14ac:dyDescent="0.25">
      <c r="B34" s="504"/>
      <c r="C34" s="86" t="s">
        <v>94</v>
      </c>
      <c r="D34" s="86" t="s">
        <v>164</v>
      </c>
      <c r="E34" s="86" t="s">
        <v>165</v>
      </c>
      <c r="F34" s="86" t="s">
        <v>166</v>
      </c>
      <c r="G34" s="86" t="s">
        <v>167</v>
      </c>
      <c r="H34" s="86" t="s">
        <v>168</v>
      </c>
    </row>
    <row r="35" spans="2:8" ht="42" customHeight="1" x14ac:dyDescent="0.25">
      <c r="B35" s="504"/>
      <c r="C35" s="86" t="s">
        <v>99</v>
      </c>
      <c r="D35" s="86" t="s">
        <v>169</v>
      </c>
      <c r="E35" s="86" t="s">
        <v>170</v>
      </c>
      <c r="F35" s="86" t="s">
        <v>171</v>
      </c>
      <c r="G35" s="86" t="s">
        <v>172</v>
      </c>
      <c r="H35" s="86" t="s">
        <v>173</v>
      </c>
    </row>
    <row r="36" spans="2:8" ht="42" customHeight="1" x14ac:dyDescent="0.25">
      <c r="B36" s="504"/>
      <c r="C36" s="86" t="s">
        <v>104</v>
      </c>
      <c r="D36" s="86" t="s">
        <v>174</v>
      </c>
      <c r="E36" s="86" t="s">
        <v>175</v>
      </c>
      <c r="F36" s="86" t="s">
        <v>176</v>
      </c>
      <c r="G36" s="86" t="s">
        <v>177</v>
      </c>
      <c r="H36" s="86" t="s">
        <v>178</v>
      </c>
    </row>
    <row r="37" spans="2:8" ht="42" customHeight="1" x14ac:dyDescent="0.25">
      <c r="B37" s="504"/>
      <c r="C37" s="87" t="s">
        <v>109</v>
      </c>
      <c r="D37" s="87" t="s">
        <v>179</v>
      </c>
      <c r="E37" s="87" t="s">
        <v>180</v>
      </c>
      <c r="F37" s="87" t="s">
        <v>181</v>
      </c>
      <c r="G37" s="87" t="s">
        <v>182</v>
      </c>
      <c r="H37" s="87" t="s">
        <v>183</v>
      </c>
    </row>
    <row r="38" spans="2:8" ht="42" customHeight="1" x14ac:dyDescent="0.25">
      <c r="B38" s="504"/>
      <c r="C38" s="87" t="s">
        <v>114</v>
      </c>
      <c r="D38" s="87" t="s">
        <v>184</v>
      </c>
      <c r="E38" s="87" t="s">
        <v>185</v>
      </c>
      <c r="F38" s="87" t="s">
        <v>186</v>
      </c>
      <c r="G38" s="87" t="s">
        <v>187</v>
      </c>
      <c r="H38" s="87" t="s">
        <v>188</v>
      </c>
    </row>
    <row r="39" spans="2:8" ht="42" customHeight="1" x14ac:dyDescent="0.25">
      <c r="B39" s="504" t="s">
        <v>189</v>
      </c>
      <c r="C39" s="87" t="s">
        <v>89</v>
      </c>
      <c r="D39" s="87" t="s">
        <v>190</v>
      </c>
      <c r="E39" s="87" t="s">
        <v>191</v>
      </c>
      <c r="F39" s="87" t="s">
        <v>192</v>
      </c>
      <c r="G39" s="87" t="s">
        <v>193</v>
      </c>
      <c r="H39" s="87" t="s">
        <v>194</v>
      </c>
    </row>
    <row r="40" spans="2:8" ht="42" customHeight="1" x14ac:dyDescent="0.25">
      <c r="B40" s="504"/>
      <c r="C40" s="87" t="s">
        <v>94</v>
      </c>
      <c r="D40" s="87" t="s">
        <v>195</v>
      </c>
      <c r="E40" s="87" t="s">
        <v>196</v>
      </c>
      <c r="F40" s="87" t="s">
        <v>197</v>
      </c>
      <c r="G40" s="87" t="s">
        <v>198</v>
      </c>
      <c r="H40" s="87" t="s">
        <v>199</v>
      </c>
    </row>
    <row r="41" spans="2:8" ht="42" customHeight="1" x14ac:dyDescent="0.25">
      <c r="B41" s="504"/>
      <c r="C41" s="87" t="s">
        <v>99</v>
      </c>
      <c r="D41" s="87" t="s">
        <v>200</v>
      </c>
      <c r="E41" s="87" t="s">
        <v>201</v>
      </c>
      <c r="F41" s="87" t="s">
        <v>202</v>
      </c>
      <c r="G41" s="87" t="s">
        <v>203</v>
      </c>
      <c r="H41" s="87" t="s">
        <v>204</v>
      </c>
    </row>
    <row r="42" spans="2:8" ht="42" customHeight="1" x14ac:dyDescent="0.25">
      <c r="B42" s="504"/>
      <c r="C42" s="87" t="s">
        <v>104</v>
      </c>
      <c r="D42" s="87" t="s">
        <v>205</v>
      </c>
      <c r="E42" s="87" t="s">
        <v>206</v>
      </c>
      <c r="F42" s="87" t="s">
        <v>207</v>
      </c>
      <c r="G42" s="87" t="s">
        <v>208</v>
      </c>
      <c r="H42" s="87" t="s">
        <v>209</v>
      </c>
    </row>
    <row r="43" spans="2:8" ht="42" customHeight="1" x14ac:dyDescent="0.25">
      <c r="B43" s="504"/>
      <c r="C43" s="87" t="s">
        <v>109</v>
      </c>
      <c r="D43" s="87" t="s">
        <v>210</v>
      </c>
      <c r="E43" s="87" t="s">
        <v>211</v>
      </c>
      <c r="F43" s="87" t="s">
        <v>212</v>
      </c>
      <c r="G43" s="87" t="s">
        <v>213</v>
      </c>
      <c r="H43" s="87" t="s">
        <v>214</v>
      </c>
    </row>
    <row r="44" spans="2:8" ht="42" customHeight="1" x14ac:dyDescent="0.25">
      <c r="B44" s="504"/>
      <c r="C44" s="87" t="s">
        <v>114</v>
      </c>
      <c r="D44" s="87" t="s">
        <v>215</v>
      </c>
      <c r="E44" s="87" t="s">
        <v>216</v>
      </c>
      <c r="F44" s="87" t="s">
        <v>217</v>
      </c>
      <c r="G44" s="87" t="s">
        <v>218</v>
      </c>
      <c r="H44" s="87" t="s">
        <v>219</v>
      </c>
    </row>
    <row r="45" spans="2:8" ht="42" customHeight="1" x14ac:dyDescent="0.25">
      <c r="B45" s="505" t="s">
        <v>220</v>
      </c>
      <c r="C45" s="87" t="s">
        <v>89</v>
      </c>
      <c r="D45" s="87" t="s">
        <v>221</v>
      </c>
      <c r="E45" s="87" t="s">
        <v>222</v>
      </c>
      <c r="F45" s="87" t="s">
        <v>223</v>
      </c>
      <c r="G45" s="87" t="s">
        <v>224</v>
      </c>
      <c r="H45" s="87" t="s">
        <v>225</v>
      </c>
    </row>
    <row r="46" spans="2:8" ht="42" customHeight="1" x14ac:dyDescent="0.25">
      <c r="B46" s="505"/>
      <c r="C46" s="87" t="s">
        <v>94</v>
      </c>
      <c r="D46" s="87" t="s">
        <v>226</v>
      </c>
      <c r="E46" s="87" t="s">
        <v>227</v>
      </c>
      <c r="F46" s="87" t="s">
        <v>228</v>
      </c>
      <c r="G46" s="87" t="s">
        <v>229</v>
      </c>
      <c r="H46" s="87" t="s">
        <v>230</v>
      </c>
    </row>
    <row r="47" spans="2:8" ht="42" customHeight="1" x14ac:dyDescent="0.25">
      <c r="B47" s="505"/>
      <c r="C47" s="87" t="s">
        <v>99</v>
      </c>
      <c r="D47" s="87" t="s">
        <v>231</v>
      </c>
      <c r="E47" s="87" t="s">
        <v>232</v>
      </c>
      <c r="F47" s="87" t="s">
        <v>233</v>
      </c>
      <c r="G47" s="87" t="s">
        <v>234</v>
      </c>
      <c r="H47" s="87" t="s">
        <v>235</v>
      </c>
    </row>
    <row r="48" spans="2:8" ht="42" customHeight="1" x14ac:dyDescent="0.25">
      <c r="B48" s="505"/>
      <c r="C48" s="87" t="s">
        <v>104</v>
      </c>
      <c r="D48" s="87" t="s">
        <v>236</v>
      </c>
      <c r="E48" s="87" t="s">
        <v>237</v>
      </c>
      <c r="F48" s="87" t="s">
        <v>238</v>
      </c>
      <c r="G48" s="87" t="s">
        <v>239</v>
      </c>
      <c r="H48" s="87" t="s">
        <v>240</v>
      </c>
    </row>
    <row r="49" spans="2:8" ht="42" customHeight="1" x14ac:dyDescent="0.25">
      <c r="B49" s="505"/>
      <c r="C49" s="87" t="s">
        <v>109</v>
      </c>
      <c r="D49" s="87" t="s">
        <v>241</v>
      </c>
      <c r="E49" s="87" t="s">
        <v>242</v>
      </c>
      <c r="F49" s="87" t="s">
        <v>243</v>
      </c>
      <c r="G49" s="87" t="s">
        <v>244</v>
      </c>
      <c r="H49" s="87" t="s">
        <v>245</v>
      </c>
    </row>
    <row r="50" spans="2:8" ht="42" customHeight="1" x14ac:dyDescent="0.25">
      <c r="B50" s="505"/>
      <c r="C50" s="88" t="s">
        <v>114</v>
      </c>
      <c r="D50" s="88" t="s">
        <v>246</v>
      </c>
      <c r="E50" s="88" t="s">
        <v>247</v>
      </c>
      <c r="F50" s="88" t="s">
        <v>248</v>
      </c>
      <c r="G50" s="88" t="s">
        <v>249</v>
      </c>
      <c r="H50" s="88" t="s">
        <v>250</v>
      </c>
    </row>
    <row r="51" spans="2:8" ht="42" customHeight="1" x14ac:dyDescent="0.25">
      <c r="B51" s="502" t="s">
        <v>251</v>
      </c>
      <c r="C51" s="89" t="s">
        <v>89</v>
      </c>
      <c r="D51" s="89" t="s">
        <v>252</v>
      </c>
      <c r="E51" s="89" t="s">
        <v>253</v>
      </c>
      <c r="F51" s="89" t="s">
        <v>254</v>
      </c>
      <c r="G51" s="89" t="s">
        <v>255</v>
      </c>
      <c r="H51" s="89" t="s">
        <v>256</v>
      </c>
    </row>
    <row r="52" spans="2:8" ht="42" customHeight="1" x14ac:dyDescent="0.25">
      <c r="B52" s="502"/>
      <c r="C52" s="87" t="s">
        <v>94</v>
      </c>
      <c r="D52" s="87" t="s">
        <v>257</v>
      </c>
      <c r="E52" s="87" t="s">
        <v>258</v>
      </c>
      <c r="F52" s="87" t="s">
        <v>259</v>
      </c>
      <c r="G52" s="87" t="s">
        <v>260</v>
      </c>
      <c r="H52" s="87" t="s">
        <v>261</v>
      </c>
    </row>
    <row r="53" spans="2:8" ht="42" customHeight="1" x14ac:dyDescent="0.25">
      <c r="B53" s="502"/>
      <c r="C53" s="87" t="s">
        <v>99</v>
      </c>
      <c r="D53" s="87" t="s">
        <v>262</v>
      </c>
      <c r="E53" s="87" t="s">
        <v>263</v>
      </c>
      <c r="F53" s="87" t="s">
        <v>264</v>
      </c>
      <c r="G53" s="87" t="s">
        <v>265</v>
      </c>
      <c r="H53" s="87" t="s">
        <v>266</v>
      </c>
    </row>
    <row r="54" spans="2:8" ht="42" customHeight="1" x14ac:dyDescent="0.25">
      <c r="B54" s="502"/>
      <c r="C54" s="87" t="s">
        <v>104</v>
      </c>
      <c r="D54" s="87" t="s">
        <v>267</v>
      </c>
      <c r="E54" s="87" t="s">
        <v>268</v>
      </c>
      <c r="F54" s="87" t="s">
        <v>269</v>
      </c>
      <c r="G54" s="87" t="s">
        <v>270</v>
      </c>
      <c r="H54" s="87" t="s">
        <v>271</v>
      </c>
    </row>
    <row r="55" spans="2:8" ht="42" customHeight="1" x14ac:dyDescent="0.25">
      <c r="B55" s="502"/>
      <c r="C55" s="87" t="s">
        <v>109</v>
      </c>
      <c r="D55" s="87" t="s">
        <v>272</v>
      </c>
      <c r="E55" s="87" t="s">
        <v>273</v>
      </c>
      <c r="F55" s="87" t="s">
        <v>274</v>
      </c>
      <c r="G55" s="87" t="s">
        <v>275</v>
      </c>
      <c r="H55" s="87" t="s">
        <v>276</v>
      </c>
    </row>
    <row r="56" spans="2:8" ht="42" customHeight="1" x14ac:dyDescent="0.25">
      <c r="B56" s="502"/>
      <c r="C56" s="88" t="s">
        <v>114</v>
      </c>
      <c r="D56" s="88" t="s">
        <v>277</v>
      </c>
      <c r="E56" s="88" t="s">
        <v>278</v>
      </c>
      <c r="F56" s="88" t="s">
        <v>279</v>
      </c>
      <c r="G56" s="88" t="s">
        <v>280</v>
      </c>
      <c r="H56" s="88" t="s">
        <v>281</v>
      </c>
    </row>
    <row r="57" spans="2:8" ht="42" customHeight="1" x14ac:dyDescent="0.25">
      <c r="B57" s="506" t="s">
        <v>282</v>
      </c>
      <c r="C57" s="90" t="s">
        <v>89</v>
      </c>
      <c r="D57" s="90" t="s">
        <v>283</v>
      </c>
      <c r="E57" s="90" t="s">
        <v>284</v>
      </c>
      <c r="F57" s="90" t="s">
        <v>285</v>
      </c>
      <c r="G57" s="90" t="s">
        <v>286</v>
      </c>
      <c r="H57" s="90" t="s">
        <v>287</v>
      </c>
    </row>
    <row r="58" spans="2:8" ht="42" customHeight="1" x14ac:dyDescent="0.25">
      <c r="B58" s="506"/>
      <c r="C58" s="86" t="s">
        <v>94</v>
      </c>
      <c r="D58" s="86" t="s">
        <v>288</v>
      </c>
      <c r="E58" s="86" t="s">
        <v>289</v>
      </c>
      <c r="F58" s="86" t="s">
        <v>290</v>
      </c>
      <c r="G58" s="86" t="s">
        <v>291</v>
      </c>
      <c r="H58" s="86" t="s">
        <v>292</v>
      </c>
    </row>
    <row r="59" spans="2:8" ht="42" customHeight="1" x14ac:dyDescent="0.25">
      <c r="B59" s="506"/>
      <c r="C59" s="86" t="s">
        <v>99</v>
      </c>
      <c r="D59" s="86" t="s">
        <v>293</v>
      </c>
      <c r="E59" s="86" t="s">
        <v>294</v>
      </c>
      <c r="F59" s="86" t="s">
        <v>295</v>
      </c>
      <c r="G59" s="86" t="s">
        <v>296</v>
      </c>
      <c r="H59" s="86" t="s">
        <v>297</v>
      </c>
    </row>
    <row r="60" spans="2:8" ht="42" customHeight="1" x14ac:dyDescent="0.25">
      <c r="B60" s="506"/>
      <c r="C60" s="86" t="s">
        <v>104</v>
      </c>
      <c r="D60" s="86" t="s">
        <v>298</v>
      </c>
      <c r="E60" s="86" t="s">
        <v>299</v>
      </c>
      <c r="F60" s="86" t="s">
        <v>300</v>
      </c>
      <c r="G60" s="86" t="s">
        <v>301</v>
      </c>
      <c r="H60" s="86" t="s">
        <v>302</v>
      </c>
    </row>
    <row r="61" spans="2:8" ht="42" customHeight="1" x14ac:dyDescent="0.25">
      <c r="B61" s="506"/>
      <c r="C61" s="86" t="s">
        <v>109</v>
      </c>
      <c r="D61" s="86" t="s">
        <v>303</v>
      </c>
      <c r="E61" s="86" t="s">
        <v>304</v>
      </c>
      <c r="F61" s="86" t="s">
        <v>305</v>
      </c>
      <c r="G61" s="86" t="s">
        <v>306</v>
      </c>
      <c r="H61" s="86" t="s">
        <v>307</v>
      </c>
    </row>
    <row r="62" spans="2:8" ht="42" customHeight="1" x14ac:dyDescent="0.25">
      <c r="B62" s="506"/>
      <c r="C62" s="86" t="s">
        <v>114</v>
      </c>
      <c r="D62" s="86" t="s">
        <v>308</v>
      </c>
      <c r="E62" s="86" t="s">
        <v>309</v>
      </c>
      <c r="F62" s="86" t="s">
        <v>310</v>
      </c>
      <c r="G62" s="86" t="s">
        <v>311</v>
      </c>
      <c r="H62" s="86" t="s">
        <v>312</v>
      </c>
    </row>
    <row r="63" spans="2:8" ht="42" customHeight="1" x14ac:dyDescent="0.25">
      <c r="B63" s="505" t="s">
        <v>313</v>
      </c>
      <c r="C63" s="86" t="s">
        <v>89</v>
      </c>
      <c r="D63" s="86" t="s">
        <v>314</v>
      </c>
      <c r="E63" s="86" t="s">
        <v>315</v>
      </c>
      <c r="F63" s="86" t="s">
        <v>316</v>
      </c>
      <c r="G63" s="86" t="s">
        <v>317</v>
      </c>
      <c r="H63" s="86" t="s">
        <v>318</v>
      </c>
    </row>
    <row r="64" spans="2:8" ht="42" customHeight="1" x14ac:dyDescent="0.25">
      <c r="B64" s="505"/>
      <c r="C64" s="86" t="s">
        <v>94</v>
      </c>
      <c r="D64" s="86" t="s">
        <v>319</v>
      </c>
      <c r="E64" s="86" t="s">
        <v>320</v>
      </c>
      <c r="F64" s="86" t="s">
        <v>321</v>
      </c>
      <c r="G64" s="86" t="s">
        <v>322</v>
      </c>
      <c r="H64" s="86" t="s">
        <v>323</v>
      </c>
    </row>
    <row r="65" spans="2:8" ht="42" customHeight="1" x14ac:dyDescent="0.25">
      <c r="B65" s="505"/>
      <c r="C65" s="86" t="s">
        <v>99</v>
      </c>
      <c r="D65" s="86" t="s">
        <v>324</v>
      </c>
      <c r="E65" s="86" t="s">
        <v>325</v>
      </c>
      <c r="F65" s="86" t="s">
        <v>326</v>
      </c>
      <c r="G65" s="86" t="s">
        <v>327</v>
      </c>
      <c r="H65" s="86" t="s">
        <v>328</v>
      </c>
    </row>
    <row r="66" spans="2:8" ht="42" customHeight="1" x14ac:dyDescent="0.25">
      <c r="B66" s="505"/>
      <c r="C66" s="86" t="s">
        <v>104</v>
      </c>
      <c r="D66" s="86" t="s">
        <v>329</v>
      </c>
      <c r="E66" s="86" t="s">
        <v>330</v>
      </c>
      <c r="F66" s="86" t="s">
        <v>331</v>
      </c>
      <c r="G66" s="86" t="s">
        <v>332</v>
      </c>
      <c r="H66" s="86" t="s">
        <v>333</v>
      </c>
    </row>
    <row r="67" spans="2:8" ht="42" customHeight="1" x14ac:dyDescent="0.25">
      <c r="B67" s="505"/>
      <c r="C67" s="86" t="s">
        <v>109</v>
      </c>
      <c r="D67" s="86" t="s">
        <v>334</v>
      </c>
      <c r="E67" s="86" t="s">
        <v>335</v>
      </c>
      <c r="F67" s="86" t="s">
        <v>336</v>
      </c>
      <c r="G67" s="86" t="s">
        <v>337</v>
      </c>
      <c r="H67" s="86" t="s">
        <v>338</v>
      </c>
    </row>
    <row r="68" spans="2:8" ht="42" customHeight="1" x14ac:dyDescent="0.25">
      <c r="B68" s="505"/>
      <c r="C68" s="91" t="s">
        <v>114</v>
      </c>
      <c r="D68" s="91" t="s">
        <v>339</v>
      </c>
      <c r="E68" s="91" t="s">
        <v>340</v>
      </c>
      <c r="F68" s="91" t="s">
        <v>341</v>
      </c>
      <c r="G68" s="91" t="s">
        <v>342</v>
      </c>
      <c r="H68" s="91" t="s">
        <v>343</v>
      </c>
    </row>
    <row r="69" spans="2:8" ht="42" customHeight="1" x14ac:dyDescent="0.25">
      <c r="B69" s="502" t="s">
        <v>344</v>
      </c>
      <c r="C69" s="92" t="s">
        <v>89</v>
      </c>
      <c r="D69" s="92" t="s">
        <v>345</v>
      </c>
      <c r="E69" s="92" t="s">
        <v>346</v>
      </c>
      <c r="F69" s="92" t="s">
        <v>347</v>
      </c>
      <c r="G69" s="92" t="s">
        <v>348</v>
      </c>
      <c r="H69" s="92" t="s">
        <v>349</v>
      </c>
    </row>
    <row r="70" spans="2:8" ht="42" customHeight="1" x14ac:dyDescent="0.25">
      <c r="B70" s="502"/>
      <c r="C70" s="86" t="s">
        <v>94</v>
      </c>
      <c r="D70" s="86" t="s">
        <v>350</v>
      </c>
      <c r="E70" s="86" t="s">
        <v>351</v>
      </c>
      <c r="F70" s="86" t="s">
        <v>352</v>
      </c>
      <c r="G70" s="86" t="s">
        <v>353</v>
      </c>
      <c r="H70" s="86" t="s">
        <v>354</v>
      </c>
    </row>
    <row r="71" spans="2:8" ht="42" customHeight="1" x14ac:dyDescent="0.25">
      <c r="B71" s="502"/>
      <c r="C71" s="86" t="s">
        <v>99</v>
      </c>
      <c r="D71" s="86" t="s">
        <v>355</v>
      </c>
      <c r="E71" s="86" t="s">
        <v>356</v>
      </c>
      <c r="F71" s="86" t="s">
        <v>357</v>
      </c>
      <c r="G71" s="86" t="s">
        <v>358</v>
      </c>
      <c r="H71" s="86" t="s">
        <v>359</v>
      </c>
    </row>
    <row r="72" spans="2:8" ht="42" customHeight="1" x14ac:dyDescent="0.25">
      <c r="B72" s="502"/>
      <c r="C72" s="86" t="s">
        <v>104</v>
      </c>
      <c r="D72" s="86" t="s">
        <v>360</v>
      </c>
      <c r="E72" s="86" t="s">
        <v>361</v>
      </c>
      <c r="F72" s="86" t="s">
        <v>362</v>
      </c>
      <c r="G72" s="86" t="s">
        <v>363</v>
      </c>
      <c r="H72" s="86" t="s">
        <v>364</v>
      </c>
    </row>
    <row r="73" spans="2:8" ht="42" customHeight="1" x14ac:dyDescent="0.25">
      <c r="B73" s="502"/>
      <c r="C73" s="86" t="s">
        <v>109</v>
      </c>
      <c r="D73" s="86" t="s">
        <v>365</v>
      </c>
      <c r="E73" s="86" t="s">
        <v>366</v>
      </c>
      <c r="F73" s="86" t="s">
        <v>367</v>
      </c>
      <c r="G73" s="86" t="s">
        <v>368</v>
      </c>
      <c r="H73" s="86" t="s">
        <v>369</v>
      </c>
    </row>
    <row r="74" spans="2:8" ht="42" customHeight="1" x14ac:dyDescent="0.25">
      <c r="B74" s="502"/>
      <c r="C74" s="91" t="s">
        <v>114</v>
      </c>
      <c r="D74" s="91" t="s">
        <v>370</v>
      </c>
      <c r="E74" s="91" t="s">
        <v>371</v>
      </c>
      <c r="F74" s="91" t="s">
        <v>372</v>
      </c>
      <c r="G74" s="91" t="s">
        <v>373</v>
      </c>
      <c r="H74" s="91" t="s">
        <v>374</v>
      </c>
    </row>
    <row r="75" spans="2:8" ht="42" customHeight="1" x14ac:dyDescent="0.25">
      <c r="B75" s="502" t="s">
        <v>375</v>
      </c>
      <c r="C75" s="92" t="s">
        <v>89</v>
      </c>
      <c r="D75" s="92" t="s">
        <v>376</v>
      </c>
      <c r="E75" s="92" t="s">
        <v>377</v>
      </c>
      <c r="F75" s="92" t="s">
        <v>378</v>
      </c>
      <c r="G75" s="92" t="s">
        <v>379</v>
      </c>
      <c r="H75" s="92" t="s">
        <v>380</v>
      </c>
    </row>
    <row r="76" spans="2:8" ht="42" customHeight="1" x14ac:dyDescent="0.25">
      <c r="B76" s="502"/>
      <c r="C76" s="86" t="s">
        <v>94</v>
      </c>
      <c r="D76" s="86" t="s">
        <v>381</v>
      </c>
      <c r="E76" s="86" t="s">
        <v>382</v>
      </c>
      <c r="F76" s="86" t="s">
        <v>383</v>
      </c>
      <c r="G76" s="86" t="s">
        <v>384</v>
      </c>
      <c r="H76" s="86" t="s">
        <v>385</v>
      </c>
    </row>
    <row r="77" spans="2:8" ht="42" customHeight="1" x14ac:dyDescent="0.25">
      <c r="B77" s="502"/>
      <c r="C77" s="86" t="s">
        <v>99</v>
      </c>
      <c r="D77" s="86" t="s">
        <v>386</v>
      </c>
      <c r="E77" s="86" t="s">
        <v>387</v>
      </c>
      <c r="F77" s="86" t="s">
        <v>388</v>
      </c>
      <c r="G77" s="86" t="s">
        <v>389</v>
      </c>
      <c r="H77" s="86" t="s">
        <v>390</v>
      </c>
    </row>
    <row r="78" spans="2:8" ht="42" customHeight="1" x14ac:dyDescent="0.25">
      <c r="B78" s="502"/>
      <c r="C78" s="86" t="s">
        <v>104</v>
      </c>
      <c r="D78" s="86" t="s">
        <v>391</v>
      </c>
      <c r="E78" s="86" t="s">
        <v>392</v>
      </c>
      <c r="F78" s="86" t="s">
        <v>393</v>
      </c>
      <c r="G78" s="86" t="s">
        <v>394</v>
      </c>
      <c r="H78" s="86" t="s">
        <v>395</v>
      </c>
    </row>
    <row r="79" spans="2:8" ht="42" customHeight="1" x14ac:dyDescent="0.25">
      <c r="B79" s="502"/>
      <c r="C79" s="86" t="s">
        <v>109</v>
      </c>
      <c r="D79" s="86" t="s">
        <v>396</v>
      </c>
      <c r="E79" s="86" t="s">
        <v>397</v>
      </c>
      <c r="F79" s="86" t="s">
        <v>398</v>
      </c>
      <c r="G79" s="86" t="s">
        <v>399</v>
      </c>
      <c r="H79" s="86" t="s">
        <v>400</v>
      </c>
    </row>
    <row r="80" spans="2:8" ht="42" customHeight="1" x14ac:dyDescent="0.25">
      <c r="B80" s="502"/>
      <c r="C80" s="91" t="s">
        <v>114</v>
      </c>
      <c r="D80" s="91" t="s">
        <v>401</v>
      </c>
      <c r="E80" s="91" t="s">
        <v>402</v>
      </c>
      <c r="F80" s="91" t="s">
        <v>217</v>
      </c>
      <c r="G80" s="91" t="s">
        <v>403</v>
      </c>
      <c r="H80" s="91" t="s">
        <v>404</v>
      </c>
    </row>
    <row r="81" spans="2:8" ht="42" customHeight="1" x14ac:dyDescent="0.25">
      <c r="B81" s="502" t="s">
        <v>405</v>
      </c>
      <c r="C81" s="92" t="s">
        <v>89</v>
      </c>
      <c r="D81" s="92" t="s">
        <v>406</v>
      </c>
      <c r="E81" s="92" t="s">
        <v>407</v>
      </c>
      <c r="F81" s="92" t="s">
        <v>408</v>
      </c>
      <c r="G81" s="92" t="s">
        <v>409</v>
      </c>
      <c r="H81" s="92" t="s">
        <v>410</v>
      </c>
    </row>
    <row r="82" spans="2:8" ht="42" customHeight="1" x14ac:dyDescent="0.25">
      <c r="B82" s="502"/>
      <c r="C82" s="86" t="s">
        <v>94</v>
      </c>
      <c r="D82" s="86" t="s">
        <v>411</v>
      </c>
      <c r="E82" s="86" t="s">
        <v>412</v>
      </c>
      <c r="F82" s="86" t="s">
        <v>413</v>
      </c>
      <c r="G82" s="86" t="s">
        <v>414</v>
      </c>
      <c r="H82" s="86" t="s">
        <v>415</v>
      </c>
    </row>
    <row r="83" spans="2:8" ht="42" customHeight="1" x14ac:dyDescent="0.25">
      <c r="B83" s="502"/>
      <c r="C83" s="86" t="s">
        <v>99</v>
      </c>
      <c r="D83" s="86" t="s">
        <v>416</v>
      </c>
      <c r="E83" s="86" t="s">
        <v>417</v>
      </c>
      <c r="F83" s="86" t="s">
        <v>418</v>
      </c>
      <c r="G83" s="86" t="s">
        <v>419</v>
      </c>
      <c r="H83" s="86" t="s">
        <v>420</v>
      </c>
    </row>
    <row r="84" spans="2:8" ht="42" customHeight="1" x14ac:dyDescent="0.25">
      <c r="B84" s="502"/>
      <c r="C84" s="86" t="s">
        <v>104</v>
      </c>
      <c r="D84" s="86" t="s">
        <v>421</v>
      </c>
      <c r="E84" s="86" t="s">
        <v>422</v>
      </c>
      <c r="F84" s="86" t="s">
        <v>423</v>
      </c>
      <c r="G84" s="86" t="s">
        <v>424</v>
      </c>
      <c r="H84" s="86" t="s">
        <v>425</v>
      </c>
    </row>
    <row r="85" spans="2:8" ht="42" customHeight="1" x14ac:dyDescent="0.25">
      <c r="B85" s="502"/>
      <c r="C85" s="86" t="s">
        <v>109</v>
      </c>
      <c r="D85" s="86" t="s">
        <v>426</v>
      </c>
      <c r="E85" s="86" t="s">
        <v>427</v>
      </c>
      <c r="F85" s="86" t="s">
        <v>428</v>
      </c>
      <c r="G85" s="86" t="s">
        <v>429</v>
      </c>
      <c r="H85" s="86" t="s">
        <v>430</v>
      </c>
    </row>
    <row r="86" spans="2:8" ht="42" customHeight="1" x14ac:dyDescent="0.25">
      <c r="B86" s="502"/>
      <c r="C86" s="91" t="s">
        <v>114</v>
      </c>
      <c r="D86" s="91" t="s">
        <v>431</v>
      </c>
      <c r="E86" s="91" t="s">
        <v>432</v>
      </c>
      <c r="F86" s="91" t="s">
        <v>433</v>
      </c>
      <c r="G86" s="91" t="s">
        <v>434</v>
      </c>
      <c r="H86" s="91" t="s">
        <v>435</v>
      </c>
    </row>
    <row r="87" spans="2:8" ht="42" customHeight="1" x14ac:dyDescent="0.25">
      <c r="B87" s="502" t="s">
        <v>436</v>
      </c>
      <c r="C87" s="92" t="s">
        <v>89</v>
      </c>
      <c r="D87" s="92" t="s">
        <v>437</v>
      </c>
      <c r="E87" s="92" t="s">
        <v>438</v>
      </c>
      <c r="F87" s="92" t="s">
        <v>439</v>
      </c>
      <c r="G87" s="92" t="s">
        <v>440</v>
      </c>
      <c r="H87" s="92" t="s">
        <v>441</v>
      </c>
    </row>
    <row r="88" spans="2:8" ht="42" customHeight="1" x14ac:dyDescent="0.25">
      <c r="B88" s="502"/>
      <c r="C88" s="86" t="s">
        <v>94</v>
      </c>
      <c r="D88" s="86" t="s">
        <v>442</v>
      </c>
      <c r="E88" s="86" t="s">
        <v>443</v>
      </c>
      <c r="F88" s="86" t="s">
        <v>444</v>
      </c>
      <c r="G88" s="86" t="s">
        <v>445</v>
      </c>
      <c r="H88" s="86" t="s">
        <v>446</v>
      </c>
    </row>
    <row r="89" spans="2:8" ht="42" customHeight="1" x14ac:dyDescent="0.25">
      <c r="B89" s="502"/>
      <c r="C89" s="86" t="s">
        <v>99</v>
      </c>
      <c r="D89" s="86" t="s">
        <v>447</v>
      </c>
      <c r="E89" s="86" t="s">
        <v>448</v>
      </c>
      <c r="F89" s="86" t="s">
        <v>449</v>
      </c>
      <c r="G89" s="86" t="s">
        <v>450</v>
      </c>
      <c r="H89" s="86" t="s">
        <v>451</v>
      </c>
    </row>
    <row r="90" spans="2:8" ht="42" customHeight="1" x14ac:dyDescent="0.25">
      <c r="B90" s="502"/>
      <c r="C90" s="93" t="s">
        <v>109</v>
      </c>
      <c r="D90" s="93" t="s">
        <v>452</v>
      </c>
      <c r="E90" s="93" t="s">
        <v>453</v>
      </c>
      <c r="F90" s="93" t="s">
        <v>454</v>
      </c>
      <c r="G90" s="93" t="s">
        <v>399</v>
      </c>
      <c r="H90" s="93" t="s">
        <v>455</v>
      </c>
    </row>
    <row r="91" spans="2:8" ht="42" customHeight="1" x14ac:dyDescent="0.25">
      <c r="B91" s="502"/>
      <c r="C91" s="94" t="s">
        <v>114</v>
      </c>
      <c r="D91" s="94" t="s">
        <v>456</v>
      </c>
      <c r="E91" s="94" t="s">
        <v>457</v>
      </c>
      <c r="F91" s="94" t="s">
        <v>458</v>
      </c>
      <c r="G91" s="94" t="s">
        <v>459</v>
      </c>
      <c r="H91" s="94" t="s">
        <v>460</v>
      </c>
    </row>
    <row r="92" spans="2:8" ht="42" customHeight="1" x14ac:dyDescent="0.25">
      <c r="B92" s="503" t="s">
        <v>461</v>
      </c>
      <c r="C92" s="95" t="s">
        <v>89</v>
      </c>
      <c r="D92" s="95" t="s">
        <v>462</v>
      </c>
      <c r="E92" s="95" t="s">
        <v>463</v>
      </c>
      <c r="F92" s="95" t="s">
        <v>464</v>
      </c>
      <c r="G92" s="95" t="s">
        <v>465</v>
      </c>
      <c r="H92" s="95" t="s">
        <v>466</v>
      </c>
    </row>
    <row r="93" spans="2:8" ht="42" customHeight="1" x14ac:dyDescent="0.25">
      <c r="B93" s="503"/>
      <c r="C93" s="93" t="s">
        <v>94</v>
      </c>
      <c r="D93" s="93" t="s">
        <v>467</v>
      </c>
      <c r="E93" s="93" t="s">
        <v>468</v>
      </c>
      <c r="F93" s="93" t="s">
        <v>469</v>
      </c>
      <c r="G93" s="93" t="s">
        <v>470</v>
      </c>
      <c r="H93" s="93" t="s">
        <v>471</v>
      </c>
    </row>
    <row r="94" spans="2:8" ht="42" customHeight="1" x14ac:dyDescent="0.25">
      <c r="B94" s="503"/>
      <c r="C94" s="93" t="s">
        <v>99</v>
      </c>
      <c r="D94" s="93" t="s">
        <v>472</v>
      </c>
      <c r="E94" s="93" t="s">
        <v>473</v>
      </c>
      <c r="F94" s="93" t="s">
        <v>474</v>
      </c>
      <c r="G94" s="93" t="s">
        <v>475</v>
      </c>
      <c r="H94" s="93" t="s">
        <v>476</v>
      </c>
    </row>
    <row r="95" spans="2:8" ht="42" customHeight="1" x14ac:dyDescent="0.25">
      <c r="B95" s="503"/>
      <c r="C95" s="93" t="s">
        <v>104</v>
      </c>
      <c r="D95" s="93" t="s">
        <v>477</v>
      </c>
      <c r="E95" s="93" t="s">
        <v>478</v>
      </c>
      <c r="F95" s="93" t="s">
        <v>479</v>
      </c>
      <c r="G95" s="93" t="s">
        <v>480</v>
      </c>
      <c r="H95" s="93" t="s">
        <v>481</v>
      </c>
    </row>
    <row r="96" spans="2:8" ht="42" customHeight="1" x14ac:dyDescent="0.25">
      <c r="B96" s="503"/>
      <c r="C96" s="93" t="s">
        <v>109</v>
      </c>
      <c r="D96" s="93" t="s">
        <v>482</v>
      </c>
      <c r="E96" s="93" t="s">
        <v>483</v>
      </c>
      <c r="F96" s="93" t="s">
        <v>484</v>
      </c>
      <c r="G96" s="93" t="s">
        <v>485</v>
      </c>
      <c r="H96" s="93" t="s">
        <v>486</v>
      </c>
    </row>
    <row r="97" spans="2:10" ht="42" customHeight="1" x14ac:dyDescent="0.25">
      <c r="B97" s="503"/>
      <c r="C97" s="93" t="s">
        <v>114</v>
      </c>
      <c r="D97" s="93" t="s">
        <v>487</v>
      </c>
      <c r="E97" s="93" t="s">
        <v>488</v>
      </c>
      <c r="F97" s="93" t="s">
        <v>489</v>
      </c>
      <c r="G97" s="93" t="s">
        <v>490</v>
      </c>
      <c r="H97" s="93" t="s">
        <v>491</v>
      </c>
    </row>
    <row r="98" spans="2:10" ht="15" customHeight="1" x14ac:dyDescent="0.25">
      <c r="B98" s="44"/>
      <c r="C98" s="96"/>
      <c r="D98" s="96"/>
      <c r="E98" s="96"/>
      <c r="F98" s="96"/>
      <c r="G98" s="96"/>
      <c r="H98" s="96"/>
    </row>
    <row r="99" spans="2:10" ht="15" customHeight="1" x14ac:dyDescent="0.25">
      <c r="B99" s="97" t="s">
        <v>492</v>
      </c>
      <c r="C99" s="96"/>
      <c r="D99" s="96"/>
      <c r="E99" s="96"/>
      <c r="F99" s="96"/>
      <c r="G99" s="96"/>
      <c r="H99" s="96"/>
    </row>
    <row r="100" spans="2:10" ht="15" customHeight="1" x14ac:dyDescent="0.25">
      <c r="B100" s="98" t="s">
        <v>493</v>
      </c>
      <c r="C100" s="98" t="s">
        <v>89</v>
      </c>
      <c r="D100" s="98" t="s">
        <v>94</v>
      </c>
      <c r="E100" s="98" t="s">
        <v>99</v>
      </c>
      <c r="F100" s="98" t="s">
        <v>104</v>
      </c>
      <c r="G100" s="98" t="s">
        <v>109</v>
      </c>
      <c r="H100" s="98" t="s">
        <v>114</v>
      </c>
      <c r="I100" s="99" t="s">
        <v>494</v>
      </c>
      <c r="J100" s="99" t="s">
        <v>495</v>
      </c>
    </row>
    <row r="101" spans="2:10" ht="15" customHeight="1" x14ac:dyDescent="0.25">
      <c r="B101" s="58" t="s">
        <v>127</v>
      </c>
      <c r="C101" s="100">
        <v>0.3</v>
      </c>
      <c r="D101" s="100">
        <v>0.15</v>
      </c>
      <c r="E101" s="100">
        <v>0.15</v>
      </c>
      <c r="F101" s="100">
        <v>0.2</v>
      </c>
      <c r="G101" s="100">
        <v>0.15</v>
      </c>
      <c r="H101" s="100">
        <v>0.05</v>
      </c>
      <c r="I101" s="101">
        <f t="shared" ref="I101:I110" si="0">SUM(C101:H101)</f>
        <v>1</v>
      </c>
      <c r="J101" s="101">
        <f t="shared" ref="J101:J110" si="1">C101*$E$15+D101*$E$16+E101*$E$17+F101*$E$18+G101*$E$19+H101*$E$20</f>
        <v>9.5</v>
      </c>
    </row>
    <row r="102" spans="2:10" ht="15" customHeight="1" x14ac:dyDescent="0.25">
      <c r="B102" s="56" t="s">
        <v>158</v>
      </c>
      <c r="C102" s="102">
        <v>0.35</v>
      </c>
      <c r="D102" s="102">
        <v>0.35</v>
      </c>
      <c r="E102" s="102">
        <v>0.05</v>
      </c>
      <c r="F102" s="102">
        <v>0.1</v>
      </c>
      <c r="G102" s="102">
        <v>0.1</v>
      </c>
      <c r="H102" s="102">
        <v>0.05</v>
      </c>
      <c r="I102" s="101">
        <f t="shared" si="0"/>
        <v>1</v>
      </c>
      <c r="J102" s="101">
        <f t="shared" si="1"/>
        <v>9.4500000000000011</v>
      </c>
    </row>
    <row r="103" spans="2:10" ht="15" customHeight="1" x14ac:dyDescent="0.25">
      <c r="B103" s="58" t="s">
        <v>189</v>
      </c>
      <c r="C103" s="100">
        <v>0.15</v>
      </c>
      <c r="D103" s="100">
        <v>0.1</v>
      </c>
      <c r="E103" s="100">
        <v>0.25</v>
      </c>
      <c r="F103" s="100">
        <v>0.1</v>
      </c>
      <c r="G103" s="100">
        <v>0.3</v>
      </c>
      <c r="H103" s="100">
        <v>0.1</v>
      </c>
      <c r="I103" s="101">
        <f t="shared" si="0"/>
        <v>0.99999999999999989</v>
      </c>
      <c r="J103" s="101">
        <f t="shared" si="1"/>
        <v>9.5250000000000004</v>
      </c>
    </row>
    <row r="104" spans="2:10" ht="15" customHeight="1" x14ac:dyDescent="0.25">
      <c r="B104" s="56" t="s">
        <v>220</v>
      </c>
      <c r="C104" s="102">
        <v>0.1</v>
      </c>
      <c r="D104" s="102">
        <v>0.25</v>
      </c>
      <c r="E104" s="102">
        <v>0.25</v>
      </c>
      <c r="F104" s="102">
        <v>0.2</v>
      </c>
      <c r="G104" s="102">
        <v>0.05</v>
      </c>
      <c r="H104" s="102">
        <v>0.15</v>
      </c>
      <c r="I104" s="101">
        <f t="shared" si="0"/>
        <v>1</v>
      </c>
      <c r="J104" s="101">
        <f t="shared" si="1"/>
        <v>9.1999999999999993</v>
      </c>
    </row>
    <row r="105" spans="2:10" ht="15" customHeight="1" x14ac:dyDescent="0.25">
      <c r="B105" s="58" t="s">
        <v>251</v>
      </c>
      <c r="C105" s="100">
        <v>0.1</v>
      </c>
      <c r="D105" s="100">
        <v>0.1</v>
      </c>
      <c r="E105" s="100">
        <v>0.15</v>
      </c>
      <c r="F105" s="100">
        <v>0.35</v>
      </c>
      <c r="G105" s="100">
        <v>0.2</v>
      </c>
      <c r="H105" s="100">
        <v>0.1</v>
      </c>
      <c r="I105" s="101">
        <f t="shared" si="0"/>
        <v>0.99999999999999989</v>
      </c>
      <c r="J105" s="101">
        <f t="shared" si="1"/>
        <v>9.3249999999999993</v>
      </c>
    </row>
    <row r="106" spans="2:10" ht="15" customHeight="1" x14ac:dyDescent="0.25">
      <c r="B106" s="56" t="s">
        <v>282</v>
      </c>
      <c r="C106" s="102">
        <v>0.2</v>
      </c>
      <c r="D106" s="102">
        <v>0.05</v>
      </c>
      <c r="E106" s="102">
        <v>0.3</v>
      </c>
      <c r="F106" s="102">
        <v>0.1</v>
      </c>
      <c r="G106" s="102">
        <v>0.15</v>
      </c>
      <c r="H106" s="102">
        <v>0.2</v>
      </c>
      <c r="I106" s="101">
        <f t="shared" si="0"/>
        <v>1</v>
      </c>
      <c r="J106" s="101">
        <f t="shared" si="1"/>
        <v>9.4000000000000021</v>
      </c>
    </row>
    <row r="107" spans="2:10" ht="15" customHeight="1" x14ac:dyDescent="0.25">
      <c r="B107" s="58" t="s">
        <v>313</v>
      </c>
      <c r="C107" s="100">
        <v>0.1</v>
      </c>
      <c r="D107" s="100">
        <v>0.2</v>
      </c>
      <c r="E107" s="100">
        <v>0.35</v>
      </c>
      <c r="F107" s="100">
        <v>0.1</v>
      </c>
      <c r="G107" s="100">
        <v>0.1</v>
      </c>
      <c r="H107" s="100">
        <v>0.15</v>
      </c>
      <c r="I107" s="101">
        <f t="shared" si="0"/>
        <v>1</v>
      </c>
      <c r="J107" s="101">
        <f t="shared" si="1"/>
        <v>9.3000000000000007</v>
      </c>
    </row>
    <row r="108" spans="2:10" ht="15" customHeight="1" x14ac:dyDescent="0.25">
      <c r="B108" s="56" t="s">
        <v>344</v>
      </c>
      <c r="C108" s="102">
        <v>0.15</v>
      </c>
      <c r="D108" s="102">
        <v>0.05</v>
      </c>
      <c r="E108" s="102">
        <v>0.15</v>
      </c>
      <c r="F108" s="102">
        <v>0.1</v>
      </c>
      <c r="G108" s="102">
        <v>0.05</v>
      </c>
      <c r="H108" s="102">
        <v>0.5</v>
      </c>
      <c r="I108" s="101">
        <f t="shared" si="0"/>
        <v>1</v>
      </c>
      <c r="J108" s="101">
        <f t="shared" si="1"/>
        <v>9.0250000000000004</v>
      </c>
    </row>
    <row r="109" spans="2:10" ht="15" customHeight="1" x14ac:dyDescent="0.25">
      <c r="B109" s="58" t="s">
        <v>375</v>
      </c>
      <c r="C109" s="100">
        <v>0.15</v>
      </c>
      <c r="D109" s="100">
        <v>0.1</v>
      </c>
      <c r="E109" s="100">
        <v>0.3</v>
      </c>
      <c r="F109" s="100">
        <v>0.15</v>
      </c>
      <c r="G109" s="100">
        <v>0.05</v>
      </c>
      <c r="H109" s="100">
        <v>0.25</v>
      </c>
      <c r="I109" s="101">
        <f t="shared" si="0"/>
        <v>1</v>
      </c>
      <c r="J109" s="101">
        <f t="shared" si="1"/>
        <v>9.2249999999999996</v>
      </c>
    </row>
    <row r="110" spans="2:10" ht="15" customHeight="1" x14ac:dyDescent="0.25">
      <c r="B110" s="56" t="s">
        <v>405</v>
      </c>
      <c r="C110" s="102">
        <v>0.1</v>
      </c>
      <c r="D110" s="102">
        <v>0.25</v>
      </c>
      <c r="E110" s="102">
        <v>0.2</v>
      </c>
      <c r="F110" s="102">
        <v>0.1</v>
      </c>
      <c r="G110" s="102">
        <v>0.1</v>
      </c>
      <c r="H110" s="102">
        <v>0.25</v>
      </c>
      <c r="I110" s="101">
        <f t="shared" si="0"/>
        <v>1</v>
      </c>
      <c r="J110" s="101">
        <f t="shared" si="1"/>
        <v>9.1750000000000007</v>
      </c>
    </row>
  </sheetData>
  <mergeCells count="15">
    <mergeCell ref="B2:D2"/>
    <mergeCell ref="B3:H3"/>
    <mergeCell ref="B11:G11"/>
    <mergeCell ref="B27:B32"/>
    <mergeCell ref="B33:B38"/>
    <mergeCell ref="B39:B44"/>
    <mergeCell ref="B45:B50"/>
    <mergeCell ref="B51:B56"/>
    <mergeCell ref="B57:B62"/>
    <mergeCell ref="B63:B68"/>
    <mergeCell ref="B69:B74"/>
    <mergeCell ref="B75:B80"/>
    <mergeCell ref="B81:B86"/>
    <mergeCell ref="B87:B91"/>
    <mergeCell ref="B92:B97"/>
  </mergeCells>
  <pageMargins left="0.75" right="0.75" top="1" bottom="1" header="0.511811023622047" footer="0.511811023622047"/>
  <pageSetup paperSize="9"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D4FF"/>
    <pageSetUpPr fitToPage="1"/>
  </sheetPr>
  <dimension ref="B1:AC99"/>
  <sheetViews>
    <sheetView showGridLines="0" zoomScale="90" zoomScaleNormal="90" workbookViewId="0">
      <pane xSplit="4" ySplit="5" topLeftCell="E73" activePane="bottomRight" state="frozen"/>
      <selection pane="topRight" activeCell="E1" sqref="E1"/>
      <selection pane="bottomLeft" activeCell="A6" sqref="A6"/>
      <selection pane="bottomRight" activeCell="A87" sqref="A87"/>
    </sheetView>
  </sheetViews>
  <sheetFormatPr defaultColWidth="8.7109375" defaultRowHeight="15" x14ac:dyDescent="0.25"/>
  <cols>
    <col min="2" max="2" width="39.85546875" customWidth="1"/>
    <col min="3" max="3" width="26" customWidth="1"/>
    <col min="4" max="4" width="9" customWidth="1"/>
    <col min="5" max="9" width="30" customWidth="1"/>
    <col min="10" max="10" width="9" customWidth="1"/>
    <col min="11" max="11" width="10" style="103" customWidth="1"/>
    <col min="12" max="12" width="13.5703125" customWidth="1"/>
    <col min="13" max="15" width="9" customWidth="1"/>
  </cols>
  <sheetData>
    <row r="1" spans="2:29" ht="33.75" customHeight="1" x14ac:dyDescent="0.25">
      <c r="AB1" s="2" t="s">
        <v>496</v>
      </c>
    </row>
    <row r="2" spans="2:29" ht="36" customHeight="1" x14ac:dyDescent="0.25">
      <c r="B2" s="4" t="s">
        <v>497</v>
      </c>
      <c r="AB2" s="4" t="s">
        <v>498</v>
      </c>
      <c r="AC2" s="4">
        <v>0.2</v>
      </c>
    </row>
    <row r="3" spans="2:29" ht="86.25" customHeight="1" x14ac:dyDescent="0.25">
      <c r="B3" s="508" t="s">
        <v>499</v>
      </c>
      <c r="C3" s="508"/>
      <c r="D3" s="508"/>
      <c r="AB3" s="3" t="s">
        <v>500</v>
      </c>
      <c r="AC3" s="3">
        <v>0.4</v>
      </c>
    </row>
    <row r="4" spans="2:29" ht="15" customHeight="1" x14ac:dyDescent="0.25">
      <c r="AB4" s="3" t="s">
        <v>501</v>
      </c>
      <c r="AC4" s="3">
        <v>0.6</v>
      </c>
    </row>
    <row r="5" spans="2:29" ht="27.75" customHeight="1" x14ac:dyDescent="0.25">
      <c r="B5" s="104" t="s">
        <v>502</v>
      </c>
      <c r="C5" s="104" t="s">
        <v>121</v>
      </c>
      <c r="D5" s="104" t="s">
        <v>503</v>
      </c>
      <c r="E5" s="104" t="s">
        <v>504</v>
      </c>
      <c r="F5" s="104" t="s">
        <v>505</v>
      </c>
      <c r="G5" s="104" t="s">
        <v>506</v>
      </c>
      <c r="H5" s="104" t="s">
        <v>507</v>
      </c>
      <c r="I5" s="104" t="s">
        <v>508</v>
      </c>
      <c r="J5" s="105" t="s">
        <v>509</v>
      </c>
      <c r="K5" s="105" t="s">
        <v>495</v>
      </c>
      <c r="L5" s="105" t="s">
        <v>510</v>
      </c>
      <c r="M5" s="105" t="s">
        <v>511</v>
      </c>
      <c r="N5" s="105" t="s">
        <v>512</v>
      </c>
      <c r="O5" s="105" t="s">
        <v>513</v>
      </c>
      <c r="AB5" s="3" t="s">
        <v>514</v>
      </c>
      <c r="AC5" s="3">
        <v>0.8</v>
      </c>
    </row>
    <row r="6" spans="2:29" ht="57.75" customHeight="1" x14ac:dyDescent="0.25">
      <c r="B6" s="58" t="s">
        <v>127</v>
      </c>
      <c r="C6" s="38" t="s">
        <v>515</v>
      </c>
      <c r="D6" s="106" t="s">
        <v>103</v>
      </c>
      <c r="E6" s="77" t="s">
        <v>516</v>
      </c>
      <c r="F6" s="77" t="s">
        <v>517</v>
      </c>
      <c r="G6" s="77" t="s">
        <v>518</v>
      </c>
      <c r="H6" s="77" t="s">
        <v>519</v>
      </c>
      <c r="I6" s="77" t="s">
        <v>520</v>
      </c>
      <c r="J6" s="107" t="s">
        <v>501</v>
      </c>
      <c r="K6" s="108">
        <f>IFERROR(INDEX('1_Industry_Rubric'!$E$15:$E$20,MATCH($D6,{"BD","OA","AUT","DC","VEL","DE"},0)),"")</f>
        <v>9</v>
      </c>
      <c r="L6" s="58" t="s">
        <v>521</v>
      </c>
      <c r="M6" s="109">
        <f>IFERROR(INDEX('1_Industry_Rubric'!$C$101:$H$110,MATCH($B6,'1_Industry_Rubric'!$B$101:$B$110,0),MATCH($D6,{"BD","OA","AUT","DC","VEL","DE"},0)),"")</f>
        <v>0.2</v>
      </c>
      <c r="N6" s="109">
        <f t="shared" ref="N6:N41" si="0">IFERROR(VLOOKUP($J6,$AB$2:$AC$6,2,FALSE()),"")</f>
        <v>0.6</v>
      </c>
      <c r="O6" s="110">
        <f t="shared" ref="O6:O41" si="1">IFERROR($K6*$M6*$N6,"")</f>
        <v>1.08</v>
      </c>
      <c r="AB6" s="28" t="s">
        <v>522</v>
      </c>
      <c r="AC6" s="28">
        <v>1</v>
      </c>
    </row>
    <row r="7" spans="2:29" ht="57.75" customHeight="1" x14ac:dyDescent="0.25">
      <c r="B7" s="56" t="s">
        <v>127</v>
      </c>
      <c r="C7" s="97" t="s">
        <v>523</v>
      </c>
      <c r="D7" s="111" t="s">
        <v>98</v>
      </c>
      <c r="E7" s="77" t="s">
        <v>524</v>
      </c>
      <c r="F7" s="77" t="s">
        <v>525</v>
      </c>
      <c r="G7" s="77" t="s">
        <v>526</v>
      </c>
      <c r="H7" s="77" t="s">
        <v>527</v>
      </c>
      <c r="I7" s="77" t="s">
        <v>528</v>
      </c>
      <c r="J7" s="107" t="s">
        <v>514</v>
      </c>
      <c r="K7" s="112">
        <f>IFERROR(INDEX('1_Industry_Rubric'!$E$15:$E$20,MATCH($D7,{"BD","OA","AUT","DC","VEL","DE"},0)),"")</f>
        <v>9.5</v>
      </c>
      <c r="L7" s="56" t="s">
        <v>529</v>
      </c>
      <c r="M7" s="113">
        <f>IFERROR(INDEX('1_Industry_Rubric'!$C$101:$H$110,MATCH($B7,'1_Industry_Rubric'!$B$101:$B$110,0),MATCH($D7,{"BD","OA","AUT","DC","VEL","DE"},0)),"")</f>
        <v>0.15</v>
      </c>
      <c r="N7" s="113">
        <f t="shared" si="0"/>
        <v>0.8</v>
      </c>
      <c r="O7" s="114">
        <f t="shared" si="1"/>
        <v>1.1400000000000001</v>
      </c>
    </row>
    <row r="8" spans="2:29" ht="57.75" customHeight="1" x14ac:dyDescent="0.25">
      <c r="B8" s="58" t="s">
        <v>127</v>
      </c>
      <c r="C8" s="38" t="s">
        <v>530</v>
      </c>
      <c r="D8" s="106" t="s">
        <v>88</v>
      </c>
      <c r="E8" s="77" t="s">
        <v>531</v>
      </c>
      <c r="F8" s="77" t="s">
        <v>532</v>
      </c>
      <c r="G8" s="77" t="s">
        <v>533</v>
      </c>
      <c r="H8" s="77" t="s">
        <v>534</v>
      </c>
      <c r="I8" s="77" t="s">
        <v>535</v>
      </c>
      <c r="J8" s="107" t="s">
        <v>501</v>
      </c>
      <c r="K8" s="108">
        <f>IFERROR(INDEX('1_Industry_Rubric'!$E$15:$E$20,MATCH($D8,{"BD","OA","AUT","DC","VEL","DE"},0)),"")</f>
        <v>10</v>
      </c>
      <c r="L8" s="58" t="s">
        <v>536</v>
      </c>
      <c r="M8" s="109">
        <f>IFERROR(INDEX('1_Industry_Rubric'!$C$101:$H$110,MATCH($B8,'1_Industry_Rubric'!$B$101:$B$110,0),MATCH($D8,{"BD","OA","AUT","DC","VEL","DE"},0)),"")</f>
        <v>0.3</v>
      </c>
      <c r="N8" s="109">
        <f t="shared" si="0"/>
        <v>0.6</v>
      </c>
      <c r="O8" s="110">
        <f t="shared" si="1"/>
        <v>1.7999999999999998</v>
      </c>
    </row>
    <row r="9" spans="2:29" ht="57.75" customHeight="1" x14ac:dyDescent="0.25">
      <c r="B9" s="56" t="s">
        <v>127</v>
      </c>
      <c r="C9" s="97" t="s">
        <v>537</v>
      </c>
      <c r="D9" s="111" t="s">
        <v>108</v>
      </c>
      <c r="E9" s="77" t="s">
        <v>538</v>
      </c>
      <c r="F9" s="77" t="s">
        <v>539</v>
      </c>
      <c r="G9" s="77" t="s">
        <v>540</v>
      </c>
      <c r="H9" s="77" t="s">
        <v>541</v>
      </c>
      <c r="I9" s="77" t="s">
        <v>542</v>
      </c>
      <c r="J9" s="107" t="s">
        <v>501</v>
      </c>
      <c r="K9" s="112">
        <f>IFERROR(INDEX('1_Industry_Rubric'!$E$15:$E$20,MATCH($D9,{"BD","OA","AUT","DC","VEL","DE"},0)),"")</f>
        <v>10</v>
      </c>
      <c r="L9" s="56" t="s">
        <v>543</v>
      </c>
      <c r="M9" s="113">
        <f>IFERROR(INDEX('1_Industry_Rubric'!$C$101:$H$110,MATCH($B9,'1_Industry_Rubric'!$B$101:$B$110,0),MATCH($D9,{"BD","OA","AUT","DC","VEL","DE"},0)),"")</f>
        <v>0.15</v>
      </c>
      <c r="N9" s="113">
        <f t="shared" si="0"/>
        <v>0.6</v>
      </c>
      <c r="O9" s="114">
        <f t="shared" si="1"/>
        <v>0.89999999999999991</v>
      </c>
    </row>
    <row r="10" spans="2:29" ht="57.75" customHeight="1" x14ac:dyDescent="0.25">
      <c r="B10" s="58" t="s">
        <v>127</v>
      </c>
      <c r="C10" s="38" t="s">
        <v>544</v>
      </c>
      <c r="D10" s="106" t="s">
        <v>113</v>
      </c>
      <c r="E10" s="77" t="s">
        <v>545</v>
      </c>
      <c r="F10" s="77" t="s">
        <v>546</v>
      </c>
      <c r="G10" s="77" t="s">
        <v>547</v>
      </c>
      <c r="H10" s="77" t="s">
        <v>548</v>
      </c>
      <c r="I10" s="77" t="s">
        <v>549</v>
      </c>
      <c r="J10" s="107" t="s">
        <v>500</v>
      </c>
      <c r="K10" s="108">
        <f>IFERROR(INDEX('1_Industry_Rubric'!$E$15:$E$20,MATCH($D10,{"BD","OA","AUT","DC","VEL","DE"},0)),"")</f>
        <v>8.5</v>
      </c>
      <c r="L10" s="58" t="s">
        <v>550</v>
      </c>
      <c r="M10" s="109">
        <f>IFERROR(INDEX('1_Industry_Rubric'!$C$101:$H$110,MATCH($B10,'1_Industry_Rubric'!$B$101:$B$110,0),MATCH($D10,{"BD","OA","AUT","DC","VEL","DE"},0)),"")</f>
        <v>0.05</v>
      </c>
      <c r="N10" s="109">
        <f t="shared" si="0"/>
        <v>0.4</v>
      </c>
      <c r="O10" s="110">
        <f t="shared" si="1"/>
        <v>0.17000000000000004</v>
      </c>
    </row>
    <row r="11" spans="2:29" ht="57.75" customHeight="1" x14ac:dyDescent="0.25">
      <c r="B11" s="56" t="s">
        <v>158</v>
      </c>
      <c r="C11" s="97" t="s">
        <v>551</v>
      </c>
      <c r="D11" s="111" t="s">
        <v>88</v>
      </c>
      <c r="E11" s="77" t="s">
        <v>552</v>
      </c>
      <c r="F11" s="77" t="s">
        <v>553</v>
      </c>
      <c r="G11" s="77" t="s">
        <v>554</v>
      </c>
      <c r="H11" s="77" t="s">
        <v>162</v>
      </c>
      <c r="I11" s="77" t="s">
        <v>163</v>
      </c>
      <c r="J11" s="107" t="s">
        <v>501</v>
      </c>
      <c r="K11" s="112">
        <f>IFERROR(INDEX('1_Industry_Rubric'!$E$15:$E$20,MATCH($D11,{"BD","OA","AUT","DC","VEL","DE"},0)),"")</f>
        <v>10</v>
      </c>
      <c r="L11" s="56" t="s">
        <v>555</v>
      </c>
      <c r="M11" s="113">
        <f>IFERROR(INDEX('1_Industry_Rubric'!$C$101:$H$110,MATCH($B11,'1_Industry_Rubric'!$B$101:$B$110,0),MATCH($D11,{"BD","OA","AUT","DC","VEL","DE"},0)),"")</f>
        <v>0.35</v>
      </c>
      <c r="N11" s="113">
        <f t="shared" si="0"/>
        <v>0.6</v>
      </c>
      <c r="O11" s="114">
        <f t="shared" si="1"/>
        <v>2.1</v>
      </c>
    </row>
    <row r="12" spans="2:29" ht="57.75" customHeight="1" x14ac:dyDescent="0.25">
      <c r="B12" s="58" t="s">
        <v>158</v>
      </c>
      <c r="C12" s="38" t="s">
        <v>556</v>
      </c>
      <c r="D12" s="106" t="s">
        <v>93</v>
      </c>
      <c r="E12" s="77" t="s">
        <v>557</v>
      </c>
      <c r="F12" s="77" t="s">
        <v>558</v>
      </c>
      <c r="G12" s="77" t="s">
        <v>559</v>
      </c>
      <c r="H12" s="77" t="s">
        <v>560</v>
      </c>
      <c r="I12" s="77" t="s">
        <v>168</v>
      </c>
      <c r="J12" s="107" t="s">
        <v>501</v>
      </c>
      <c r="K12" s="108">
        <f>IFERROR(INDEX('1_Industry_Rubric'!$E$15:$E$20,MATCH($D12,{"BD","OA","AUT","DC","VEL","DE"},0)),"")</f>
        <v>9</v>
      </c>
      <c r="L12" s="58" t="s">
        <v>561</v>
      </c>
      <c r="M12" s="109">
        <f>IFERROR(INDEX('1_Industry_Rubric'!$C$101:$H$110,MATCH($B12,'1_Industry_Rubric'!$B$101:$B$110,0),MATCH($D12,{"BD","OA","AUT","DC","VEL","DE"},0)),"")</f>
        <v>0.35</v>
      </c>
      <c r="N12" s="109">
        <f t="shared" si="0"/>
        <v>0.6</v>
      </c>
      <c r="O12" s="110">
        <f t="shared" si="1"/>
        <v>1.89</v>
      </c>
    </row>
    <row r="13" spans="2:29" ht="57.75" customHeight="1" x14ac:dyDescent="0.25">
      <c r="B13" s="56" t="s">
        <v>189</v>
      </c>
      <c r="C13" s="97" t="s">
        <v>562</v>
      </c>
      <c r="D13" s="111" t="s">
        <v>88</v>
      </c>
      <c r="E13" s="77" t="s">
        <v>563</v>
      </c>
      <c r="F13" s="77" t="s">
        <v>564</v>
      </c>
      <c r="G13" s="77" t="s">
        <v>565</v>
      </c>
      <c r="H13" s="77" t="s">
        <v>566</v>
      </c>
      <c r="I13" s="77" t="s">
        <v>567</v>
      </c>
      <c r="J13" s="107" t="s">
        <v>514</v>
      </c>
      <c r="K13" s="112">
        <f>IFERROR(INDEX('1_Industry_Rubric'!$E$15:$E$20,MATCH($D13,{"BD","OA","AUT","DC","VEL","DE"},0)),"")</f>
        <v>10</v>
      </c>
      <c r="L13" s="56" t="s">
        <v>568</v>
      </c>
      <c r="M13" s="113">
        <f>IFERROR(INDEX('1_Industry_Rubric'!$C$101:$H$110,MATCH($B13,'1_Industry_Rubric'!$B$101:$B$110,0),MATCH($D13,{"BD","OA","AUT","DC","VEL","DE"},0)),"")</f>
        <v>0.15</v>
      </c>
      <c r="N13" s="113">
        <f t="shared" si="0"/>
        <v>0.8</v>
      </c>
      <c r="O13" s="114">
        <f t="shared" si="1"/>
        <v>1.2000000000000002</v>
      </c>
    </row>
    <row r="14" spans="2:29" ht="57.75" customHeight="1" x14ac:dyDescent="0.25">
      <c r="B14" s="58" t="s">
        <v>189</v>
      </c>
      <c r="C14" s="38" t="s">
        <v>569</v>
      </c>
      <c r="D14" s="106" t="s">
        <v>103</v>
      </c>
      <c r="E14" s="77" t="s">
        <v>570</v>
      </c>
      <c r="F14" s="77" t="s">
        <v>571</v>
      </c>
      <c r="G14" s="77" t="s">
        <v>572</v>
      </c>
      <c r="H14" s="77" t="s">
        <v>573</v>
      </c>
      <c r="I14" s="77" t="s">
        <v>574</v>
      </c>
      <c r="J14" s="107" t="s">
        <v>501</v>
      </c>
      <c r="K14" s="108">
        <f>IFERROR(INDEX('1_Industry_Rubric'!$E$15:$E$20,MATCH($D14,{"BD","OA","AUT","DC","VEL","DE"},0)),"")</f>
        <v>9</v>
      </c>
      <c r="L14" s="58" t="s">
        <v>575</v>
      </c>
      <c r="M14" s="109">
        <f>IFERROR(INDEX('1_Industry_Rubric'!$C$101:$H$110,MATCH($B14,'1_Industry_Rubric'!$B$101:$B$110,0),MATCH($D14,{"BD","OA","AUT","DC","VEL","DE"},0)),"")</f>
        <v>0.1</v>
      </c>
      <c r="N14" s="109">
        <f t="shared" si="0"/>
        <v>0.6</v>
      </c>
      <c r="O14" s="110">
        <f t="shared" si="1"/>
        <v>0.54</v>
      </c>
    </row>
    <row r="15" spans="2:29" ht="57.75" customHeight="1" x14ac:dyDescent="0.25">
      <c r="B15" s="56" t="s">
        <v>189</v>
      </c>
      <c r="C15" s="97" t="s">
        <v>576</v>
      </c>
      <c r="D15" s="111" t="s">
        <v>98</v>
      </c>
      <c r="E15" s="77" t="s">
        <v>577</v>
      </c>
      <c r="F15" s="77" t="s">
        <v>578</v>
      </c>
      <c r="G15" s="77" t="s">
        <v>579</v>
      </c>
      <c r="H15" s="77" t="s">
        <v>580</v>
      </c>
      <c r="I15" s="77" t="s">
        <v>581</v>
      </c>
      <c r="J15" s="107" t="s">
        <v>500</v>
      </c>
      <c r="K15" s="112">
        <f>IFERROR(INDEX('1_Industry_Rubric'!$E$15:$E$20,MATCH($D15,{"BD","OA","AUT","DC","VEL","DE"},0)),"")</f>
        <v>9.5</v>
      </c>
      <c r="L15" s="56" t="s">
        <v>582</v>
      </c>
      <c r="M15" s="113">
        <f>IFERROR(INDEX('1_Industry_Rubric'!$C$101:$H$110,MATCH($B15,'1_Industry_Rubric'!$B$101:$B$110,0),MATCH($D15,{"BD","OA","AUT","DC","VEL","DE"},0)),"")</f>
        <v>0.25</v>
      </c>
      <c r="N15" s="113">
        <f t="shared" si="0"/>
        <v>0.4</v>
      </c>
      <c r="O15" s="114">
        <f t="shared" si="1"/>
        <v>0.95000000000000007</v>
      </c>
    </row>
    <row r="16" spans="2:29" ht="57.75" customHeight="1" x14ac:dyDescent="0.25">
      <c r="B16" s="58" t="s">
        <v>189</v>
      </c>
      <c r="C16" s="38" t="s">
        <v>583</v>
      </c>
      <c r="D16" s="106" t="s">
        <v>113</v>
      </c>
      <c r="E16" s="77" t="s">
        <v>584</v>
      </c>
      <c r="F16" s="77" t="s">
        <v>585</v>
      </c>
      <c r="G16" s="77" t="s">
        <v>586</v>
      </c>
      <c r="H16" s="77" t="s">
        <v>587</v>
      </c>
      <c r="I16" s="77" t="s">
        <v>588</v>
      </c>
      <c r="J16" s="107" t="s">
        <v>501</v>
      </c>
      <c r="K16" s="108">
        <f>IFERROR(INDEX('1_Industry_Rubric'!$E$15:$E$20,MATCH($D16,{"BD","OA","AUT","DC","VEL","DE"},0)),"")</f>
        <v>8.5</v>
      </c>
      <c r="L16" s="58" t="s">
        <v>589</v>
      </c>
      <c r="M16" s="109">
        <f>IFERROR(INDEX('1_Industry_Rubric'!$C$101:$H$110,MATCH($B16,'1_Industry_Rubric'!$B$101:$B$110,0),MATCH($D16,{"BD","OA","AUT","DC","VEL","DE"},0)),"")</f>
        <v>0.1</v>
      </c>
      <c r="N16" s="109">
        <f t="shared" si="0"/>
        <v>0.6</v>
      </c>
      <c r="O16" s="110">
        <f t="shared" si="1"/>
        <v>0.51</v>
      </c>
    </row>
    <row r="17" spans="2:15" ht="57.75" customHeight="1" x14ac:dyDescent="0.25">
      <c r="B17" s="56" t="s">
        <v>189</v>
      </c>
      <c r="C17" s="97" t="s">
        <v>590</v>
      </c>
      <c r="D17" s="111" t="s">
        <v>108</v>
      </c>
      <c r="E17" s="77" t="s">
        <v>591</v>
      </c>
      <c r="F17" s="77" t="s">
        <v>592</v>
      </c>
      <c r="G17" s="77" t="s">
        <v>593</v>
      </c>
      <c r="H17" s="77" t="s">
        <v>594</v>
      </c>
      <c r="I17" s="77" t="s">
        <v>595</v>
      </c>
      <c r="J17" s="107" t="s">
        <v>501</v>
      </c>
      <c r="K17" s="112">
        <f>IFERROR(INDEX('1_Industry_Rubric'!$E$15:$E$20,MATCH($D17,{"BD","OA","AUT","DC","VEL","DE"},0)),"")</f>
        <v>10</v>
      </c>
      <c r="L17" s="56" t="s">
        <v>596</v>
      </c>
      <c r="M17" s="113">
        <f>IFERROR(INDEX('1_Industry_Rubric'!$C$101:$H$110,MATCH($B17,'1_Industry_Rubric'!$B$101:$B$110,0),MATCH($D17,{"BD","OA","AUT","DC","VEL","DE"},0)),"")</f>
        <v>0.3</v>
      </c>
      <c r="N17" s="113">
        <f t="shared" si="0"/>
        <v>0.6</v>
      </c>
      <c r="O17" s="114">
        <f t="shared" si="1"/>
        <v>1.7999999999999998</v>
      </c>
    </row>
    <row r="18" spans="2:15" ht="57.75" customHeight="1" x14ac:dyDescent="0.25">
      <c r="B18" s="58" t="s">
        <v>220</v>
      </c>
      <c r="C18" s="38" t="s">
        <v>597</v>
      </c>
      <c r="D18" s="106" t="s">
        <v>103</v>
      </c>
      <c r="E18" s="77" t="s">
        <v>598</v>
      </c>
      <c r="F18" s="77" t="s">
        <v>599</v>
      </c>
      <c r="G18" s="77" t="s">
        <v>600</v>
      </c>
      <c r="H18" s="77" t="s">
        <v>601</v>
      </c>
      <c r="I18" s="77" t="s">
        <v>602</v>
      </c>
      <c r="J18" s="107" t="s">
        <v>501</v>
      </c>
      <c r="K18" s="108">
        <f>IFERROR(INDEX('1_Industry_Rubric'!$E$15:$E$20,MATCH($D18,{"BD","OA","AUT","DC","VEL","DE"},0)),"")</f>
        <v>9</v>
      </c>
      <c r="L18" s="58" t="s">
        <v>603</v>
      </c>
      <c r="M18" s="109">
        <f>IFERROR(INDEX('1_Industry_Rubric'!$C$101:$H$110,MATCH($B18,'1_Industry_Rubric'!$B$101:$B$110,0),MATCH($D18,{"BD","OA","AUT","DC","VEL","DE"},0)),"")</f>
        <v>0.2</v>
      </c>
      <c r="N18" s="109">
        <f t="shared" si="0"/>
        <v>0.6</v>
      </c>
      <c r="O18" s="110">
        <f t="shared" si="1"/>
        <v>1.08</v>
      </c>
    </row>
    <row r="19" spans="2:15" ht="57.75" customHeight="1" x14ac:dyDescent="0.25">
      <c r="B19" s="56" t="s">
        <v>220</v>
      </c>
      <c r="C19" s="97" t="s">
        <v>604</v>
      </c>
      <c r="D19" s="111" t="s">
        <v>98</v>
      </c>
      <c r="E19" s="77" t="s">
        <v>605</v>
      </c>
      <c r="F19" s="77" t="s">
        <v>606</v>
      </c>
      <c r="G19" s="77" t="s">
        <v>607</v>
      </c>
      <c r="H19" s="77" t="s">
        <v>608</v>
      </c>
      <c r="I19" s="77" t="s">
        <v>609</v>
      </c>
      <c r="J19" s="107" t="s">
        <v>501</v>
      </c>
      <c r="K19" s="112">
        <f>IFERROR(INDEX('1_Industry_Rubric'!$E$15:$E$20,MATCH($D19,{"BD","OA","AUT","DC","VEL","DE"},0)),"")</f>
        <v>9.5</v>
      </c>
      <c r="L19" s="56" t="s">
        <v>610</v>
      </c>
      <c r="M19" s="113">
        <f>IFERROR(INDEX('1_Industry_Rubric'!$C$101:$H$110,MATCH($B19,'1_Industry_Rubric'!$B$101:$B$110,0),MATCH($D19,{"BD","OA","AUT","DC","VEL","DE"},0)),"")</f>
        <v>0.25</v>
      </c>
      <c r="N19" s="113">
        <f t="shared" si="0"/>
        <v>0.6</v>
      </c>
      <c r="O19" s="114">
        <f t="shared" si="1"/>
        <v>1.425</v>
      </c>
    </row>
    <row r="20" spans="2:15" ht="57.75" customHeight="1" x14ac:dyDescent="0.25">
      <c r="B20" s="58" t="s">
        <v>220</v>
      </c>
      <c r="C20" s="38" t="s">
        <v>611</v>
      </c>
      <c r="D20" s="106" t="s">
        <v>113</v>
      </c>
      <c r="E20" s="77" t="s">
        <v>612</v>
      </c>
      <c r="F20" s="77" t="s">
        <v>613</v>
      </c>
      <c r="G20" s="77" t="s">
        <v>614</v>
      </c>
      <c r="H20" s="77" t="s">
        <v>615</v>
      </c>
      <c r="I20" s="77" t="s">
        <v>616</v>
      </c>
      <c r="J20" s="107" t="s">
        <v>522</v>
      </c>
      <c r="K20" s="108">
        <f>IFERROR(INDEX('1_Industry_Rubric'!$E$15:$E$20,MATCH($D20,{"BD","OA","AUT","DC","VEL","DE"},0)),"")</f>
        <v>8.5</v>
      </c>
      <c r="L20" s="58" t="s">
        <v>617</v>
      </c>
      <c r="M20" s="109">
        <f>IFERROR(INDEX('1_Industry_Rubric'!$C$101:$H$110,MATCH($B20,'1_Industry_Rubric'!$B$101:$B$110,0),MATCH($D20,{"BD","OA","AUT","DC","VEL","DE"},0)),"")</f>
        <v>0.15</v>
      </c>
      <c r="N20" s="109">
        <f t="shared" si="0"/>
        <v>1</v>
      </c>
      <c r="O20" s="110">
        <f t="shared" si="1"/>
        <v>1.2749999999999999</v>
      </c>
    </row>
    <row r="21" spans="2:15" ht="57.75" customHeight="1" x14ac:dyDescent="0.25">
      <c r="B21" s="56" t="s">
        <v>220</v>
      </c>
      <c r="C21" s="97" t="s">
        <v>618</v>
      </c>
      <c r="D21" s="111" t="s">
        <v>93</v>
      </c>
      <c r="E21" s="77" t="s">
        <v>619</v>
      </c>
      <c r="F21" s="77" t="s">
        <v>620</v>
      </c>
      <c r="G21" s="77" t="s">
        <v>621</v>
      </c>
      <c r="H21" s="77" t="s">
        <v>622</v>
      </c>
      <c r="I21" s="77" t="s">
        <v>623</v>
      </c>
      <c r="J21" s="107" t="s">
        <v>501</v>
      </c>
      <c r="K21" s="112">
        <f>IFERROR(INDEX('1_Industry_Rubric'!$E$15:$E$20,MATCH($D21,{"BD","OA","AUT","DC","VEL","DE"},0)),"")</f>
        <v>9</v>
      </c>
      <c r="L21" s="56" t="s">
        <v>624</v>
      </c>
      <c r="M21" s="113">
        <f>IFERROR(INDEX('1_Industry_Rubric'!$C$101:$H$110,MATCH($B21,'1_Industry_Rubric'!$B$101:$B$110,0),MATCH($D21,{"BD","OA","AUT","DC","VEL","DE"},0)),"")</f>
        <v>0.25</v>
      </c>
      <c r="N21" s="113">
        <f t="shared" si="0"/>
        <v>0.6</v>
      </c>
      <c r="O21" s="114">
        <f t="shared" si="1"/>
        <v>1.3499999999999999</v>
      </c>
    </row>
    <row r="22" spans="2:15" ht="57.75" customHeight="1" x14ac:dyDescent="0.25">
      <c r="B22" s="58" t="s">
        <v>251</v>
      </c>
      <c r="C22" s="38" t="s">
        <v>625</v>
      </c>
      <c r="D22" s="106" t="s">
        <v>108</v>
      </c>
      <c r="E22" s="77" t="s">
        <v>626</v>
      </c>
      <c r="F22" s="77" t="s">
        <v>627</v>
      </c>
      <c r="G22" s="77" t="s">
        <v>628</v>
      </c>
      <c r="H22" s="77" t="s">
        <v>629</v>
      </c>
      <c r="I22" s="77" t="s">
        <v>630</v>
      </c>
      <c r="J22" s="107" t="s">
        <v>501</v>
      </c>
      <c r="K22" s="108">
        <f>IFERROR(INDEX('1_Industry_Rubric'!$E$15:$E$20,MATCH($D22,{"BD","OA","AUT","DC","VEL","DE"},0)),"")</f>
        <v>10</v>
      </c>
      <c r="L22" s="58" t="s">
        <v>631</v>
      </c>
      <c r="M22" s="109">
        <f>IFERROR(INDEX('1_Industry_Rubric'!$C$101:$H$110,MATCH($B22,'1_Industry_Rubric'!$B$101:$B$110,0),MATCH($D22,{"BD","OA","AUT","DC","VEL","DE"},0)),"")</f>
        <v>0.2</v>
      </c>
      <c r="N22" s="109">
        <f t="shared" si="0"/>
        <v>0.6</v>
      </c>
      <c r="O22" s="110">
        <f t="shared" si="1"/>
        <v>1.2</v>
      </c>
    </row>
    <row r="23" spans="2:15" ht="57.75" customHeight="1" x14ac:dyDescent="0.25">
      <c r="B23" s="56" t="s">
        <v>251</v>
      </c>
      <c r="C23" s="97" t="s">
        <v>632</v>
      </c>
      <c r="D23" s="111" t="s">
        <v>103</v>
      </c>
      <c r="E23" s="77" t="s">
        <v>633</v>
      </c>
      <c r="F23" s="77" t="s">
        <v>634</v>
      </c>
      <c r="G23" s="77" t="s">
        <v>635</v>
      </c>
      <c r="H23" s="77" t="s">
        <v>636</v>
      </c>
      <c r="I23" s="77" t="s">
        <v>637</v>
      </c>
      <c r="J23" s="107" t="s">
        <v>501</v>
      </c>
      <c r="K23" s="112">
        <f>IFERROR(INDEX('1_Industry_Rubric'!$E$15:$E$20,MATCH($D23,{"BD","OA","AUT","DC","VEL","DE"},0)),"")</f>
        <v>9</v>
      </c>
      <c r="L23" s="56" t="s">
        <v>638</v>
      </c>
      <c r="M23" s="113">
        <f>IFERROR(INDEX('1_Industry_Rubric'!$C$101:$H$110,MATCH($B23,'1_Industry_Rubric'!$B$101:$B$110,0),MATCH($D23,{"BD","OA","AUT","DC","VEL","DE"},0)),"")</f>
        <v>0.35</v>
      </c>
      <c r="N23" s="113">
        <f t="shared" si="0"/>
        <v>0.6</v>
      </c>
      <c r="O23" s="114">
        <f t="shared" si="1"/>
        <v>1.89</v>
      </c>
    </row>
    <row r="24" spans="2:15" ht="57.75" customHeight="1" x14ac:dyDescent="0.25">
      <c r="B24" s="58" t="s">
        <v>251</v>
      </c>
      <c r="C24" s="38" t="s">
        <v>639</v>
      </c>
      <c r="D24" s="106" t="s">
        <v>113</v>
      </c>
      <c r="E24" s="77" t="s">
        <v>640</v>
      </c>
      <c r="F24" s="77" t="s">
        <v>641</v>
      </c>
      <c r="G24" s="77" t="s">
        <v>642</v>
      </c>
      <c r="H24" s="77" t="s">
        <v>643</v>
      </c>
      <c r="I24" s="77" t="s">
        <v>644</v>
      </c>
      <c r="J24" s="107" t="s">
        <v>500</v>
      </c>
      <c r="K24" s="108">
        <f>IFERROR(INDEX('1_Industry_Rubric'!$E$15:$E$20,MATCH($D24,{"BD","OA","AUT","DC","VEL","DE"},0)),"")</f>
        <v>8.5</v>
      </c>
      <c r="L24" s="58" t="s">
        <v>645</v>
      </c>
      <c r="M24" s="109">
        <f>IFERROR(INDEX('1_Industry_Rubric'!$C$101:$H$110,MATCH($B24,'1_Industry_Rubric'!$B$101:$B$110,0),MATCH($D24,{"BD","OA","AUT","DC","VEL","DE"},0)),"")</f>
        <v>0.1</v>
      </c>
      <c r="N24" s="109">
        <f t="shared" si="0"/>
        <v>0.4</v>
      </c>
      <c r="O24" s="110">
        <f t="shared" si="1"/>
        <v>0.34000000000000008</v>
      </c>
    </row>
    <row r="25" spans="2:15" ht="57.75" customHeight="1" x14ac:dyDescent="0.25">
      <c r="B25" s="56" t="s">
        <v>282</v>
      </c>
      <c r="C25" s="97" t="s">
        <v>646</v>
      </c>
      <c r="D25" s="111" t="s">
        <v>88</v>
      </c>
      <c r="E25" s="77" t="s">
        <v>647</v>
      </c>
      <c r="F25" s="77" t="s">
        <v>648</v>
      </c>
      <c r="G25" s="77" t="s">
        <v>649</v>
      </c>
      <c r="H25" s="77" t="s">
        <v>650</v>
      </c>
      <c r="I25" s="77" t="s">
        <v>651</v>
      </c>
      <c r="J25" s="107" t="s">
        <v>501</v>
      </c>
      <c r="K25" s="112">
        <f>IFERROR(INDEX('1_Industry_Rubric'!$E$15:$E$20,MATCH($D25,{"BD","OA","AUT","DC","VEL","DE"},0)),"")</f>
        <v>10</v>
      </c>
      <c r="L25" s="56" t="s">
        <v>652</v>
      </c>
      <c r="M25" s="113">
        <f>IFERROR(INDEX('1_Industry_Rubric'!$C$101:$H$110,MATCH($B25,'1_Industry_Rubric'!$B$101:$B$110,0),MATCH($D25,{"BD","OA","AUT","DC","VEL","DE"},0)),"")</f>
        <v>0.2</v>
      </c>
      <c r="N25" s="113">
        <f t="shared" si="0"/>
        <v>0.6</v>
      </c>
      <c r="O25" s="114">
        <f t="shared" si="1"/>
        <v>1.2</v>
      </c>
    </row>
    <row r="26" spans="2:15" ht="57.75" customHeight="1" x14ac:dyDescent="0.25">
      <c r="B26" s="58" t="s">
        <v>282</v>
      </c>
      <c r="C26" s="38" t="s">
        <v>653</v>
      </c>
      <c r="D26" s="106" t="s">
        <v>108</v>
      </c>
      <c r="E26" s="77" t="s">
        <v>654</v>
      </c>
      <c r="F26" s="77" t="s">
        <v>655</v>
      </c>
      <c r="G26" s="77" t="s">
        <v>656</v>
      </c>
      <c r="H26" s="77" t="s">
        <v>657</v>
      </c>
      <c r="I26" s="77" t="s">
        <v>658</v>
      </c>
      <c r="J26" s="107" t="s">
        <v>501</v>
      </c>
      <c r="K26" s="108">
        <f>IFERROR(INDEX('1_Industry_Rubric'!$E$15:$E$20,MATCH($D26,{"BD","OA","AUT","DC","VEL","DE"},0)),"")</f>
        <v>10</v>
      </c>
      <c r="L26" s="58" t="s">
        <v>659</v>
      </c>
      <c r="M26" s="109">
        <f>IFERROR(INDEX('1_Industry_Rubric'!$C$101:$H$110,MATCH($B26,'1_Industry_Rubric'!$B$101:$B$110,0),MATCH($D26,{"BD","OA","AUT","DC","VEL","DE"},0)),"")</f>
        <v>0.15</v>
      </c>
      <c r="N26" s="109">
        <f t="shared" si="0"/>
        <v>0.6</v>
      </c>
      <c r="O26" s="110">
        <f t="shared" si="1"/>
        <v>0.89999999999999991</v>
      </c>
    </row>
    <row r="27" spans="2:15" ht="57.75" customHeight="1" x14ac:dyDescent="0.25">
      <c r="B27" s="56" t="s">
        <v>282</v>
      </c>
      <c r="C27" s="97" t="s">
        <v>660</v>
      </c>
      <c r="D27" s="111" t="s">
        <v>98</v>
      </c>
      <c r="E27" s="77" t="s">
        <v>661</v>
      </c>
      <c r="F27" s="77" t="s">
        <v>662</v>
      </c>
      <c r="G27" s="77" t="s">
        <v>663</v>
      </c>
      <c r="H27" s="77" t="s">
        <v>664</v>
      </c>
      <c r="I27" s="77" t="s">
        <v>665</v>
      </c>
      <c r="J27" s="107" t="s">
        <v>514</v>
      </c>
      <c r="K27" s="112">
        <f>IFERROR(INDEX('1_Industry_Rubric'!$E$15:$E$20,MATCH($D27,{"BD","OA","AUT","DC","VEL","DE"},0)),"")</f>
        <v>9.5</v>
      </c>
      <c r="L27" s="56" t="s">
        <v>666</v>
      </c>
      <c r="M27" s="113">
        <f>IFERROR(INDEX('1_Industry_Rubric'!$C$101:$H$110,MATCH($B27,'1_Industry_Rubric'!$B$101:$B$110,0),MATCH($D27,{"BD","OA","AUT","DC","VEL","DE"},0)),"")</f>
        <v>0.3</v>
      </c>
      <c r="N27" s="113">
        <f t="shared" si="0"/>
        <v>0.8</v>
      </c>
      <c r="O27" s="114">
        <f t="shared" si="1"/>
        <v>2.2800000000000002</v>
      </c>
    </row>
    <row r="28" spans="2:15" ht="57.75" customHeight="1" x14ac:dyDescent="0.25">
      <c r="B28" s="58" t="s">
        <v>282</v>
      </c>
      <c r="C28" s="38" t="s">
        <v>667</v>
      </c>
      <c r="D28" s="106" t="s">
        <v>113</v>
      </c>
      <c r="E28" s="77" t="s">
        <v>668</v>
      </c>
      <c r="F28" s="77" t="s">
        <v>669</v>
      </c>
      <c r="G28" s="77" t="s">
        <v>670</v>
      </c>
      <c r="H28" s="77" t="s">
        <v>671</v>
      </c>
      <c r="I28" s="77" t="s">
        <v>672</v>
      </c>
      <c r="J28" s="107" t="s">
        <v>522</v>
      </c>
      <c r="K28" s="108">
        <f>IFERROR(INDEX('1_Industry_Rubric'!$E$15:$E$20,MATCH($D28,{"BD","OA","AUT","DC","VEL","DE"},0)),"")</f>
        <v>8.5</v>
      </c>
      <c r="L28" s="58" t="s">
        <v>673</v>
      </c>
      <c r="M28" s="109">
        <f>IFERROR(INDEX('1_Industry_Rubric'!$C$101:$H$110,MATCH($B28,'1_Industry_Rubric'!$B$101:$B$110,0),MATCH($D28,{"BD","OA","AUT","DC","VEL","DE"},0)),"")</f>
        <v>0.2</v>
      </c>
      <c r="N28" s="109">
        <f t="shared" si="0"/>
        <v>1</v>
      </c>
      <c r="O28" s="110">
        <f t="shared" si="1"/>
        <v>1.7000000000000002</v>
      </c>
    </row>
    <row r="29" spans="2:15" ht="57.75" customHeight="1" x14ac:dyDescent="0.25">
      <c r="B29" s="56" t="s">
        <v>313</v>
      </c>
      <c r="C29" s="97" t="s">
        <v>674</v>
      </c>
      <c r="D29" s="111" t="s">
        <v>98</v>
      </c>
      <c r="E29" s="77" t="s">
        <v>324</v>
      </c>
      <c r="F29" s="77" t="s">
        <v>675</v>
      </c>
      <c r="G29" s="77" t="s">
        <v>326</v>
      </c>
      <c r="H29" s="77" t="s">
        <v>676</v>
      </c>
      <c r="I29" s="77" t="s">
        <v>677</v>
      </c>
      <c r="J29" s="107" t="s">
        <v>514</v>
      </c>
      <c r="K29" s="112">
        <f>IFERROR(INDEX('1_Industry_Rubric'!$E$15:$E$20,MATCH($D29,{"BD","OA","AUT","DC","VEL","DE"},0)),"")</f>
        <v>9.5</v>
      </c>
      <c r="L29" s="56" t="s">
        <v>678</v>
      </c>
      <c r="M29" s="113">
        <f>IFERROR(INDEX('1_Industry_Rubric'!$C$101:$H$110,MATCH($B29,'1_Industry_Rubric'!$B$101:$B$110,0),MATCH($D29,{"BD","OA","AUT","DC","VEL","DE"},0)),"")</f>
        <v>0.35</v>
      </c>
      <c r="N29" s="113">
        <f t="shared" si="0"/>
        <v>0.8</v>
      </c>
      <c r="O29" s="114">
        <f t="shared" si="1"/>
        <v>2.66</v>
      </c>
    </row>
    <row r="30" spans="2:15" ht="57.75" customHeight="1" x14ac:dyDescent="0.25">
      <c r="B30" s="58" t="s">
        <v>313</v>
      </c>
      <c r="C30" s="38" t="s">
        <v>679</v>
      </c>
      <c r="D30" s="106" t="s">
        <v>93</v>
      </c>
      <c r="E30" s="77" t="s">
        <v>680</v>
      </c>
      <c r="F30" s="77" t="s">
        <v>681</v>
      </c>
      <c r="G30" s="77" t="s">
        <v>682</v>
      </c>
      <c r="H30" s="77" t="s">
        <v>683</v>
      </c>
      <c r="I30" s="77" t="s">
        <v>684</v>
      </c>
      <c r="J30" s="107" t="s">
        <v>501</v>
      </c>
      <c r="K30" s="108">
        <f>IFERROR(INDEX('1_Industry_Rubric'!$E$15:$E$20,MATCH($D30,{"BD","OA","AUT","DC","VEL","DE"},0)),"")</f>
        <v>9</v>
      </c>
      <c r="L30" s="58" t="s">
        <v>685</v>
      </c>
      <c r="M30" s="109">
        <f>IFERROR(INDEX('1_Industry_Rubric'!$C$101:$H$110,MATCH($B30,'1_Industry_Rubric'!$B$101:$B$110,0),MATCH($D30,{"BD","OA","AUT","DC","VEL","DE"},0)),"")</f>
        <v>0.2</v>
      </c>
      <c r="N30" s="109">
        <f t="shared" si="0"/>
        <v>0.6</v>
      </c>
      <c r="O30" s="110">
        <f t="shared" si="1"/>
        <v>1.08</v>
      </c>
    </row>
    <row r="31" spans="2:15" ht="57.75" customHeight="1" x14ac:dyDescent="0.25">
      <c r="B31" s="56" t="s">
        <v>313</v>
      </c>
      <c r="C31" s="97" t="s">
        <v>686</v>
      </c>
      <c r="D31" s="111" t="s">
        <v>113</v>
      </c>
      <c r="E31" s="77" t="s">
        <v>687</v>
      </c>
      <c r="F31" s="77" t="s">
        <v>688</v>
      </c>
      <c r="G31" s="77" t="s">
        <v>689</v>
      </c>
      <c r="H31" s="77" t="s">
        <v>690</v>
      </c>
      <c r="I31" s="77" t="s">
        <v>691</v>
      </c>
      <c r="J31" s="107" t="s">
        <v>500</v>
      </c>
      <c r="K31" s="112">
        <f>IFERROR(INDEX('1_Industry_Rubric'!$E$15:$E$20,MATCH($D31,{"BD","OA","AUT","DC","VEL","DE"},0)),"")</f>
        <v>8.5</v>
      </c>
      <c r="L31" s="56" t="s">
        <v>692</v>
      </c>
      <c r="M31" s="113">
        <f>IFERROR(INDEX('1_Industry_Rubric'!$C$101:$H$110,MATCH($B31,'1_Industry_Rubric'!$B$101:$B$110,0),MATCH($D31,{"BD","OA","AUT","DC","VEL","DE"},0)),"")</f>
        <v>0.15</v>
      </c>
      <c r="N31" s="113">
        <f t="shared" si="0"/>
        <v>0.4</v>
      </c>
      <c r="O31" s="114">
        <f t="shared" si="1"/>
        <v>0.51</v>
      </c>
    </row>
    <row r="32" spans="2:15" ht="57.75" customHeight="1" x14ac:dyDescent="0.25">
      <c r="B32" s="58" t="s">
        <v>344</v>
      </c>
      <c r="C32" s="38" t="s">
        <v>693</v>
      </c>
      <c r="D32" s="106" t="s">
        <v>113</v>
      </c>
      <c r="E32" s="77" t="s">
        <v>694</v>
      </c>
      <c r="F32" s="77" t="s">
        <v>695</v>
      </c>
      <c r="G32" s="77" t="s">
        <v>696</v>
      </c>
      <c r="H32" s="77" t="s">
        <v>697</v>
      </c>
      <c r="I32" s="77" t="s">
        <v>698</v>
      </c>
      <c r="J32" s="107" t="s">
        <v>500</v>
      </c>
      <c r="K32" s="108">
        <f>IFERROR(INDEX('1_Industry_Rubric'!$E$15:$E$20,MATCH($D32,{"BD","OA","AUT","DC","VEL","DE"},0)),"")</f>
        <v>8.5</v>
      </c>
      <c r="L32" s="58" t="s">
        <v>550</v>
      </c>
      <c r="M32" s="109">
        <f>IFERROR(INDEX('1_Industry_Rubric'!$C$101:$H$110,MATCH($B32,'1_Industry_Rubric'!$B$101:$B$110,0),MATCH($D32,{"BD","OA","AUT","DC","VEL","DE"},0)),"")</f>
        <v>0.5</v>
      </c>
      <c r="N32" s="109">
        <f t="shared" si="0"/>
        <v>0.4</v>
      </c>
      <c r="O32" s="110">
        <f t="shared" si="1"/>
        <v>1.7000000000000002</v>
      </c>
    </row>
    <row r="33" spans="2:15" ht="57.75" customHeight="1" x14ac:dyDescent="0.25">
      <c r="B33" s="56" t="s">
        <v>344</v>
      </c>
      <c r="C33" s="97" t="s">
        <v>699</v>
      </c>
      <c r="D33" s="111" t="s">
        <v>88</v>
      </c>
      <c r="E33" s="77" t="s">
        <v>700</v>
      </c>
      <c r="F33" s="77" t="s">
        <v>701</v>
      </c>
      <c r="G33" s="77" t="s">
        <v>702</v>
      </c>
      <c r="H33" s="77" t="s">
        <v>703</v>
      </c>
      <c r="I33" s="77" t="s">
        <v>704</v>
      </c>
      <c r="J33" s="107" t="s">
        <v>498</v>
      </c>
      <c r="K33" s="112">
        <f>IFERROR(INDEX('1_Industry_Rubric'!$E$15:$E$20,MATCH($D33,{"BD","OA","AUT","DC","VEL","DE"},0)),"")</f>
        <v>10</v>
      </c>
      <c r="L33" s="56" t="s">
        <v>705</v>
      </c>
      <c r="M33" s="113">
        <f>IFERROR(INDEX('1_Industry_Rubric'!$C$101:$H$110,MATCH($B33,'1_Industry_Rubric'!$B$101:$B$110,0),MATCH($D33,{"BD","OA","AUT","DC","VEL","DE"},0)),"")</f>
        <v>0.15</v>
      </c>
      <c r="N33" s="113">
        <f t="shared" si="0"/>
        <v>0.2</v>
      </c>
      <c r="O33" s="114">
        <f t="shared" si="1"/>
        <v>0.30000000000000004</v>
      </c>
    </row>
    <row r="34" spans="2:15" ht="57.75" customHeight="1" x14ac:dyDescent="0.25">
      <c r="B34" s="58" t="s">
        <v>344</v>
      </c>
      <c r="C34" s="38" t="s">
        <v>706</v>
      </c>
      <c r="D34" s="106" t="s">
        <v>103</v>
      </c>
      <c r="E34" s="77" t="s">
        <v>707</v>
      </c>
      <c r="F34" s="77" t="s">
        <v>708</v>
      </c>
      <c r="G34" s="77" t="s">
        <v>709</v>
      </c>
      <c r="H34" s="77" t="s">
        <v>710</v>
      </c>
      <c r="I34" s="77" t="s">
        <v>711</v>
      </c>
      <c r="J34" s="107" t="s">
        <v>501</v>
      </c>
      <c r="K34" s="108">
        <f>IFERROR(INDEX('1_Industry_Rubric'!$E$15:$E$20,MATCH($D34,{"BD","OA","AUT","DC","VEL","DE"},0)),"")</f>
        <v>9</v>
      </c>
      <c r="L34" s="58" t="s">
        <v>712</v>
      </c>
      <c r="M34" s="109">
        <f>IFERROR(INDEX('1_Industry_Rubric'!$C$101:$H$110,MATCH($B34,'1_Industry_Rubric'!$B$101:$B$110,0),MATCH($D34,{"BD","OA","AUT","DC","VEL","DE"},0)),"")</f>
        <v>0.1</v>
      </c>
      <c r="N34" s="109">
        <f t="shared" si="0"/>
        <v>0.6</v>
      </c>
      <c r="O34" s="110">
        <f t="shared" si="1"/>
        <v>0.54</v>
      </c>
    </row>
    <row r="35" spans="2:15" ht="57.75" customHeight="1" x14ac:dyDescent="0.25">
      <c r="B35" s="56" t="s">
        <v>375</v>
      </c>
      <c r="C35" s="97" t="s">
        <v>713</v>
      </c>
      <c r="D35" s="111" t="s">
        <v>103</v>
      </c>
      <c r="E35" s="77" t="s">
        <v>714</v>
      </c>
      <c r="F35" s="77" t="s">
        <v>715</v>
      </c>
      <c r="G35" s="77" t="s">
        <v>716</v>
      </c>
      <c r="H35" s="77" t="s">
        <v>717</v>
      </c>
      <c r="I35" s="77" t="s">
        <v>718</v>
      </c>
      <c r="J35" s="107" t="s">
        <v>514</v>
      </c>
      <c r="K35" s="112">
        <f>IFERROR(INDEX('1_Industry_Rubric'!$E$15:$E$20,MATCH($D35,{"BD","OA","AUT","DC","VEL","DE"},0)),"")</f>
        <v>9</v>
      </c>
      <c r="L35" s="56" t="s">
        <v>719</v>
      </c>
      <c r="M35" s="113">
        <f>IFERROR(INDEX('1_Industry_Rubric'!$C$101:$H$110,MATCH($B35,'1_Industry_Rubric'!$B$101:$B$110,0),MATCH($D35,{"BD","OA","AUT","DC","VEL","DE"},0)),"")</f>
        <v>0.15</v>
      </c>
      <c r="N35" s="113">
        <f t="shared" si="0"/>
        <v>0.8</v>
      </c>
      <c r="O35" s="114">
        <f t="shared" si="1"/>
        <v>1.0799999999999998</v>
      </c>
    </row>
    <row r="36" spans="2:15" ht="57.75" customHeight="1" x14ac:dyDescent="0.25">
      <c r="B36" s="58" t="s">
        <v>375</v>
      </c>
      <c r="C36" s="38" t="s">
        <v>720</v>
      </c>
      <c r="D36" s="106" t="s">
        <v>98</v>
      </c>
      <c r="E36" s="77" t="s">
        <v>721</v>
      </c>
      <c r="F36" s="77" t="s">
        <v>722</v>
      </c>
      <c r="G36" s="77" t="s">
        <v>723</v>
      </c>
      <c r="H36" s="77" t="s">
        <v>724</v>
      </c>
      <c r="I36" s="77" t="s">
        <v>725</v>
      </c>
      <c r="J36" s="107" t="s">
        <v>500</v>
      </c>
      <c r="K36" s="108">
        <f>IFERROR(INDEX('1_Industry_Rubric'!$E$15:$E$20,MATCH($D36,{"BD","OA","AUT","DC","VEL","DE"},0)),"")</f>
        <v>9.5</v>
      </c>
      <c r="L36" s="58" t="s">
        <v>726</v>
      </c>
      <c r="M36" s="109">
        <f>IFERROR(INDEX('1_Industry_Rubric'!$C$101:$H$110,MATCH($B36,'1_Industry_Rubric'!$B$101:$B$110,0),MATCH($D36,{"BD","OA","AUT","DC","VEL","DE"},0)),"")</f>
        <v>0.3</v>
      </c>
      <c r="N36" s="109">
        <f t="shared" si="0"/>
        <v>0.4</v>
      </c>
      <c r="O36" s="110">
        <f t="shared" si="1"/>
        <v>1.1400000000000001</v>
      </c>
    </row>
    <row r="37" spans="2:15" ht="57.75" customHeight="1" x14ac:dyDescent="0.25">
      <c r="B37" s="56" t="s">
        <v>375</v>
      </c>
      <c r="C37" s="97" t="s">
        <v>727</v>
      </c>
      <c r="D37" s="111" t="s">
        <v>113</v>
      </c>
      <c r="E37" s="77" t="s">
        <v>728</v>
      </c>
      <c r="F37" s="77" t="s">
        <v>729</v>
      </c>
      <c r="G37" s="77" t="s">
        <v>730</v>
      </c>
      <c r="H37" s="77" t="s">
        <v>731</v>
      </c>
      <c r="I37" s="77" t="s">
        <v>732</v>
      </c>
      <c r="J37" s="107" t="s">
        <v>501</v>
      </c>
      <c r="K37" s="112">
        <f>IFERROR(INDEX('1_Industry_Rubric'!$E$15:$E$20,MATCH($D37,{"BD","OA","AUT","DC","VEL","DE"},0)),"")</f>
        <v>8.5</v>
      </c>
      <c r="L37" s="56" t="s">
        <v>733</v>
      </c>
      <c r="M37" s="113">
        <f>IFERROR(INDEX('1_Industry_Rubric'!$C$101:$H$110,MATCH($B37,'1_Industry_Rubric'!$B$101:$B$110,0),MATCH($D37,{"BD","OA","AUT","DC","VEL","DE"},0)),"")</f>
        <v>0.25</v>
      </c>
      <c r="N37" s="113">
        <f t="shared" si="0"/>
        <v>0.6</v>
      </c>
      <c r="O37" s="114">
        <f t="shared" si="1"/>
        <v>1.2749999999999999</v>
      </c>
    </row>
    <row r="38" spans="2:15" ht="57.75" customHeight="1" x14ac:dyDescent="0.25">
      <c r="B38" s="58" t="s">
        <v>375</v>
      </c>
      <c r="C38" s="38" t="s">
        <v>734</v>
      </c>
      <c r="D38" s="106" t="s">
        <v>93</v>
      </c>
      <c r="E38" s="77" t="s">
        <v>735</v>
      </c>
      <c r="F38" s="77" t="s">
        <v>736</v>
      </c>
      <c r="G38" s="77" t="s">
        <v>737</v>
      </c>
      <c r="H38" s="77" t="s">
        <v>738</v>
      </c>
      <c r="I38" s="77" t="s">
        <v>739</v>
      </c>
      <c r="J38" s="107" t="s">
        <v>514</v>
      </c>
      <c r="K38" s="108">
        <f>IFERROR(INDEX('1_Industry_Rubric'!$E$15:$E$20,MATCH($D38,{"BD","OA","AUT","DC","VEL","DE"},0)),"")</f>
        <v>9</v>
      </c>
      <c r="L38" s="58" t="s">
        <v>740</v>
      </c>
      <c r="M38" s="109">
        <f>IFERROR(INDEX('1_Industry_Rubric'!$C$101:$H$110,MATCH($B38,'1_Industry_Rubric'!$B$101:$B$110,0),MATCH($D38,{"BD","OA","AUT","DC","VEL","DE"},0)),"")</f>
        <v>0.1</v>
      </c>
      <c r="N38" s="109">
        <f t="shared" si="0"/>
        <v>0.8</v>
      </c>
      <c r="O38" s="110">
        <f t="shared" si="1"/>
        <v>0.72000000000000008</v>
      </c>
    </row>
    <row r="39" spans="2:15" ht="57.75" customHeight="1" x14ac:dyDescent="0.25">
      <c r="B39" s="56" t="s">
        <v>405</v>
      </c>
      <c r="C39" s="97" t="s">
        <v>741</v>
      </c>
      <c r="D39" s="111" t="s">
        <v>93</v>
      </c>
      <c r="E39" s="77" t="s">
        <v>411</v>
      </c>
      <c r="F39" s="77" t="s">
        <v>742</v>
      </c>
      <c r="G39" s="77" t="s">
        <v>413</v>
      </c>
      <c r="H39" s="77" t="s">
        <v>743</v>
      </c>
      <c r="I39" s="77" t="s">
        <v>744</v>
      </c>
      <c r="J39" s="107" t="s">
        <v>501</v>
      </c>
      <c r="K39" s="112">
        <f>IFERROR(INDEX('1_Industry_Rubric'!$E$15:$E$20,MATCH($D39,{"BD","OA","AUT","DC","VEL","DE"},0)),"")</f>
        <v>9</v>
      </c>
      <c r="L39" s="56" t="s">
        <v>745</v>
      </c>
      <c r="M39" s="113">
        <f>IFERROR(INDEX('1_Industry_Rubric'!$C$101:$H$110,MATCH($B39,'1_Industry_Rubric'!$B$101:$B$110,0),MATCH($D39,{"BD","OA","AUT","DC","VEL","DE"},0)),"")</f>
        <v>0.25</v>
      </c>
      <c r="N39" s="113">
        <f t="shared" si="0"/>
        <v>0.6</v>
      </c>
      <c r="O39" s="114">
        <f t="shared" si="1"/>
        <v>1.3499999999999999</v>
      </c>
    </row>
    <row r="40" spans="2:15" ht="57.75" customHeight="1" x14ac:dyDescent="0.25">
      <c r="B40" s="58" t="s">
        <v>405</v>
      </c>
      <c r="C40" s="38" t="s">
        <v>746</v>
      </c>
      <c r="D40" s="106" t="s">
        <v>98</v>
      </c>
      <c r="E40" s="77" t="s">
        <v>747</v>
      </c>
      <c r="F40" s="77" t="s">
        <v>748</v>
      </c>
      <c r="G40" s="77" t="s">
        <v>749</v>
      </c>
      <c r="H40" s="77" t="s">
        <v>419</v>
      </c>
      <c r="I40" s="77" t="s">
        <v>750</v>
      </c>
      <c r="J40" s="107" t="s">
        <v>500</v>
      </c>
      <c r="K40" s="108">
        <f>IFERROR(INDEX('1_Industry_Rubric'!$E$15:$E$20,MATCH($D40,{"BD","OA","AUT","DC","VEL","DE"},0)),"")</f>
        <v>9.5</v>
      </c>
      <c r="L40" s="58" t="s">
        <v>751</v>
      </c>
      <c r="M40" s="109">
        <f>IFERROR(INDEX('1_Industry_Rubric'!$C$101:$H$110,MATCH($B40,'1_Industry_Rubric'!$B$101:$B$110,0),MATCH($D40,{"BD","OA","AUT","DC","VEL","DE"},0)),"")</f>
        <v>0.2</v>
      </c>
      <c r="N40" s="109">
        <f t="shared" si="0"/>
        <v>0.4</v>
      </c>
      <c r="O40" s="110">
        <f t="shared" si="1"/>
        <v>0.76000000000000012</v>
      </c>
    </row>
    <row r="41" spans="2:15" ht="57.75" customHeight="1" x14ac:dyDescent="0.25">
      <c r="B41" s="56" t="s">
        <v>405</v>
      </c>
      <c r="C41" s="97" t="s">
        <v>752</v>
      </c>
      <c r="D41" s="111" t="s">
        <v>113</v>
      </c>
      <c r="E41" s="77" t="s">
        <v>753</v>
      </c>
      <c r="F41" s="77" t="s">
        <v>754</v>
      </c>
      <c r="G41" s="77" t="s">
        <v>755</v>
      </c>
      <c r="H41" s="77" t="s">
        <v>756</v>
      </c>
      <c r="I41" s="77" t="s">
        <v>757</v>
      </c>
      <c r="J41" s="107" t="s">
        <v>501</v>
      </c>
      <c r="K41" s="112">
        <f>IFERROR(INDEX('1_Industry_Rubric'!$E$15:$E$20,MATCH($D41,{"BD","OA","AUT","DC","VEL","DE"},0)),"")</f>
        <v>8.5</v>
      </c>
      <c r="L41" s="56" t="s">
        <v>758</v>
      </c>
      <c r="M41" s="113">
        <f>IFERROR(INDEX('1_Industry_Rubric'!$C$101:$H$110,MATCH($B41,'1_Industry_Rubric'!$B$101:$B$110,0),MATCH($D41,{"BD","OA","AUT","DC","VEL","DE"},0)),"")</f>
        <v>0.25</v>
      </c>
      <c r="N41" s="113">
        <f t="shared" si="0"/>
        <v>0.6</v>
      </c>
      <c r="O41" s="114">
        <f t="shared" si="1"/>
        <v>1.2749999999999999</v>
      </c>
    </row>
    <row r="42" spans="2:15" ht="18" customHeight="1" x14ac:dyDescent="0.25"/>
    <row r="43" spans="2:15" ht="18" customHeight="1" x14ac:dyDescent="0.25"/>
    <row r="44" spans="2:15" ht="45.75" customHeight="1" x14ac:dyDescent="0.25">
      <c r="B44" s="64" t="s">
        <v>759</v>
      </c>
    </row>
    <row r="45" spans="2:15" ht="15" customHeight="1" x14ac:dyDescent="0.25">
      <c r="B45" s="104" t="s">
        <v>502</v>
      </c>
      <c r="C45" s="105" t="s">
        <v>760</v>
      </c>
      <c r="D45" s="105" t="s">
        <v>495</v>
      </c>
      <c r="E45" s="105" t="s">
        <v>761</v>
      </c>
      <c r="F45" s="105" t="s">
        <v>762</v>
      </c>
      <c r="G45" s="105" t="s">
        <v>763</v>
      </c>
    </row>
    <row r="46" spans="2:15" ht="15" customHeight="1" x14ac:dyDescent="0.25">
      <c r="B46" s="58" t="s">
        <v>127</v>
      </c>
      <c r="C46" s="115">
        <f t="shared" ref="C46:C55" si="2">IFERROR(SUMIFS($O$6:$O$41,$B$6:$B$41,$B46)/SUMIFS($M$6:$M$41,$B$6:$B$41,$B46),"")</f>
        <v>5.9882352941176471</v>
      </c>
      <c r="D46" s="116">
        <f>IFERROR(VLOOKUP($B46,'1_Industry_Rubric'!$B$101:$J$110,9,FALSE()),"")</f>
        <v>9.5</v>
      </c>
      <c r="E46" s="116">
        <f t="shared" ref="E46:E55" si="3">IFERROR($D46-$C46,"")</f>
        <v>3.5117647058823529</v>
      </c>
      <c r="F46" s="100">
        <f t="shared" ref="F46:F55" si="4">IFERROR($C46/$D46,"")</f>
        <v>0.63034055727554184</v>
      </c>
      <c r="G46" s="117">
        <f t="shared" ref="G46:G55" si="5">COUNTIFS($B$6:$B$41,$B46)</f>
        <v>5</v>
      </c>
    </row>
    <row r="47" spans="2:15" ht="15" customHeight="1" x14ac:dyDescent="0.25">
      <c r="B47" s="56" t="s">
        <v>158</v>
      </c>
      <c r="C47" s="118">
        <f t="shared" si="2"/>
        <v>5.7000000000000011</v>
      </c>
      <c r="D47" s="119">
        <f>IFERROR(VLOOKUP($B47,'1_Industry_Rubric'!$B$101:$J$110,9,FALSE()),"")</f>
        <v>9.4500000000000011</v>
      </c>
      <c r="E47" s="119">
        <f t="shared" si="3"/>
        <v>3.75</v>
      </c>
      <c r="F47" s="102">
        <f t="shared" si="4"/>
        <v>0.60317460317460325</v>
      </c>
      <c r="G47" s="120">
        <f t="shared" si="5"/>
        <v>2</v>
      </c>
    </row>
    <row r="48" spans="2:15" ht="15" customHeight="1" x14ac:dyDescent="0.25">
      <c r="B48" s="58" t="s">
        <v>189</v>
      </c>
      <c r="C48" s="115">
        <f t="shared" si="2"/>
        <v>5.5555555555555562</v>
      </c>
      <c r="D48" s="116">
        <f>IFERROR(VLOOKUP($B48,'1_Industry_Rubric'!$B$101:$J$110,9,FALSE()),"")</f>
        <v>9.5250000000000004</v>
      </c>
      <c r="E48" s="116">
        <f t="shared" si="3"/>
        <v>3.9694444444444441</v>
      </c>
      <c r="F48" s="100">
        <f t="shared" si="4"/>
        <v>0.58326042578011084</v>
      </c>
      <c r="G48" s="117">
        <f t="shared" si="5"/>
        <v>5</v>
      </c>
    </row>
    <row r="49" spans="2:7" ht="15" customHeight="1" x14ac:dyDescent="0.25">
      <c r="B49" s="56" t="s">
        <v>220</v>
      </c>
      <c r="C49" s="118">
        <f t="shared" si="2"/>
        <v>6.0352941176470587</v>
      </c>
      <c r="D49" s="119">
        <f>IFERROR(VLOOKUP($B49,'1_Industry_Rubric'!$B$101:$J$110,9,FALSE()),"")</f>
        <v>9.1999999999999993</v>
      </c>
      <c r="E49" s="119">
        <f t="shared" si="3"/>
        <v>3.1647058823529406</v>
      </c>
      <c r="F49" s="102">
        <f t="shared" si="4"/>
        <v>0.65601023017902815</v>
      </c>
      <c r="G49" s="120">
        <f t="shared" si="5"/>
        <v>4</v>
      </c>
    </row>
    <row r="50" spans="2:7" ht="15" customHeight="1" x14ac:dyDescent="0.25">
      <c r="B50" s="58" t="s">
        <v>251</v>
      </c>
      <c r="C50" s="115">
        <f t="shared" si="2"/>
        <v>5.2769230769230759</v>
      </c>
      <c r="D50" s="116">
        <f>IFERROR(VLOOKUP($B50,'1_Industry_Rubric'!$B$101:$J$110,9,FALSE()),"")</f>
        <v>9.3249999999999993</v>
      </c>
      <c r="E50" s="116">
        <f t="shared" si="3"/>
        <v>4.0480769230769234</v>
      </c>
      <c r="F50" s="100">
        <f t="shared" si="4"/>
        <v>0.56588987420086612</v>
      </c>
      <c r="G50" s="117">
        <f t="shared" si="5"/>
        <v>3</v>
      </c>
    </row>
    <row r="51" spans="2:7" ht="15" customHeight="1" x14ac:dyDescent="0.25">
      <c r="B51" s="56" t="s">
        <v>282</v>
      </c>
      <c r="C51" s="118">
        <f t="shared" si="2"/>
        <v>7.1529411764705895</v>
      </c>
      <c r="D51" s="119">
        <f>IFERROR(VLOOKUP($B51,'1_Industry_Rubric'!$B$101:$J$110,9,FALSE()),"")</f>
        <v>9.4000000000000021</v>
      </c>
      <c r="E51" s="119">
        <f t="shared" si="3"/>
        <v>2.2470588235294127</v>
      </c>
      <c r="F51" s="102">
        <f t="shared" si="4"/>
        <v>0.76095118898623271</v>
      </c>
      <c r="G51" s="120">
        <f t="shared" si="5"/>
        <v>4</v>
      </c>
    </row>
    <row r="52" spans="2:7" ht="15" customHeight="1" x14ac:dyDescent="0.25">
      <c r="B52" s="58" t="s">
        <v>313</v>
      </c>
      <c r="C52" s="115">
        <f t="shared" si="2"/>
        <v>6.0714285714285712</v>
      </c>
      <c r="D52" s="116">
        <f>IFERROR(VLOOKUP($B52,'1_Industry_Rubric'!$B$101:$J$110,9,FALSE()),"")</f>
        <v>9.3000000000000007</v>
      </c>
      <c r="E52" s="116">
        <f t="shared" si="3"/>
        <v>3.2285714285714295</v>
      </c>
      <c r="F52" s="100">
        <f t="shared" si="4"/>
        <v>0.65284178187403985</v>
      </c>
      <c r="G52" s="117">
        <f t="shared" si="5"/>
        <v>3</v>
      </c>
    </row>
    <row r="53" spans="2:7" ht="15" customHeight="1" x14ac:dyDescent="0.25">
      <c r="B53" s="56" t="s">
        <v>344</v>
      </c>
      <c r="C53" s="118">
        <f t="shared" si="2"/>
        <v>3.3866666666666667</v>
      </c>
      <c r="D53" s="119">
        <f>IFERROR(VLOOKUP($B53,'1_Industry_Rubric'!$B$101:$J$110,9,FALSE()),"")</f>
        <v>9.0250000000000004</v>
      </c>
      <c r="E53" s="119">
        <f t="shared" si="3"/>
        <v>5.6383333333333336</v>
      </c>
      <c r="F53" s="102">
        <f t="shared" si="4"/>
        <v>0.37525392428439519</v>
      </c>
      <c r="G53" s="120">
        <f t="shared" si="5"/>
        <v>3</v>
      </c>
    </row>
    <row r="54" spans="2:7" ht="15" customHeight="1" x14ac:dyDescent="0.25">
      <c r="B54" s="58" t="s">
        <v>375</v>
      </c>
      <c r="C54" s="115">
        <f t="shared" si="2"/>
        <v>5.2687499999999998</v>
      </c>
      <c r="D54" s="116">
        <f>IFERROR(VLOOKUP($B54,'1_Industry_Rubric'!$B$101:$J$110,9,FALSE()),"")</f>
        <v>9.2249999999999996</v>
      </c>
      <c r="E54" s="116">
        <f t="shared" si="3"/>
        <v>3.9562499999999998</v>
      </c>
      <c r="F54" s="100">
        <f t="shared" si="4"/>
        <v>0.57113821138211385</v>
      </c>
      <c r="G54" s="117">
        <f t="shared" si="5"/>
        <v>4</v>
      </c>
    </row>
    <row r="55" spans="2:7" ht="15" customHeight="1" x14ac:dyDescent="0.25">
      <c r="B55" s="56" t="s">
        <v>405</v>
      </c>
      <c r="C55" s="118">
        <f t="shared" si="2"/>
        <v>4.8357142857142854</v>
      </c>
      <c r="D55" s="119">
        <f>IFERROR(VLOOKUP($B55,'1_Industry_Rubric'!$B$101:$J$110,9,FALSE()),"")</f>
        <v>9.1750000000000007</v>
      </c>
      <c r="E55" s="119">
        <f t="shared" si="3"/>
        <v>4.3392857142857153</v>
      </c>
      <c r="F55" s="102">
        <f t="shared" si="4"/>
        <v>0.52705332814324635</v>
      </c>
      <c r="G55" s="120">
        <f t="shared" si="5"/>
        <v>3</v>
      </c>
    </row>
    <row r="56" spans="2:7" ht="18" customHeight="1" x14ac:dyDescent="0.25"/>
    <row r="57" spans="2:7" ht="18" customHeight="1" x14ac:dyDescent="0.25"/>
    <row r="58" spans="2:7" ht="15" customHeight="1" x14ac:dyDescent="0.25">
      <c r="B58" s="64" t="s">
        <v>764</v>
      </c>
    </row>
    <row r="59" spans="2:7" ht="15" customHeight="1" x14ac:dyDescent="0.25">
      <c r="B59" s="98" t="s">
        <v>83</v>
      </c>
      <c r="C59" s="98" t="s">
        <v>765</v>
      </c>
      <c r="D59" s="98" t="s">
        <v>495</v>
      </c>
      <c r="E59" s="98" t="s">
        <v>766</v>
      </c>
    </row>
    <row r="60" spans="2:7" ht="15" customHeight="1" x14ac:dyDescent="0.25">
      <c r="B60" s="38" t="s">
        <v>88</v>
      </c>
      <c r="C60" s="110">
        <f>IFERROR(AVERAGEIFS($N$6:$N$41,$D$6:$D$41,"BD"),"")</f>
        <v>0.56000000000000005</v>
      </c>
      <c r="D60" s="121">
        <f>'1_Industry_Rubric'!$E$15</f>
        <v>10</v>
      </c>
      <c r="E60" s="109">
        <f t="shared" ref="E60:E65" si="6">IFERROR($C60*$D60,"")</f>
        <v>5.6000000000000005</v>
      </c>
    </row>
    <row r="61" spans="2:7" ht="15" customHeight="1" x14ac:dyDescent="0.25">
      <c r="B61" s="97" t="s">
        <v>93</v>
      </c>
      <c r="C61" s="114">
        <f>IFERROR(AVERAGEIFS($N$6:$N$41,$D$6:$D$41,"OA"),"")</f>
        <v>0.6399999999999999</v>
      </c>
      <c r="D61" s="122">
        <f>'1_Industry_Rubric'!$E$16</f>
        <v>9</v>
      </c>
      <c r="E61" s="113">
        <f t="shared" si="6"/>
        <v>5.7599999999999989</v>
      </c>
    </row>
    <row r="62" spans="2:7" ht="15" customHeight="1" x14ac:dyDescent="0.25">
      <c r="B62" s="38" t="s">
        <v>98</v>
      </c>
      <c r="C62" s="110">
        <f>IFERROR(AVERAGEIFS($N$6:$N$41,$D$6:$D$41,"AUT"),"")</f>
        <v>0.6</v>
      </c>
      <c r="D62" s="121">
        <f>'1_Industry_Rubric'!$E$17</f>
        <v>9.5</v>
      </c>
      <c r="E62" s="109">
        <f t="shared" si="6"/>
        <v>5.7</v>
      </c>
    </row>
    <row r="63" spans="2:7" ht="15" customHeight="1" x14ac:dyDescent="0.25">
      <c r="B63" s="97" t="s">
        <v>103</v>
      </c>
      <c r="C63" s="114">
        <f>IFERROR(AVERAGEIFS($N$6:$N$41,$D$6:$D$41,"DC"),"")</f>
        <v>0.6333333333333333</v>
      </c>
      <c r="D63" s="122">
        <f>'1_Industry_Rubric'!$E$18</f>
        <v>9</v>
      </c>
      <c r="E63" s="113">
        <f t="shared" si="6"/>
        <v>5.6999999999999993</v>
      </c>
    </row>
    <row r="64" spans="2:7" ht="15" customHeight="1" x14ac:dyDescent="0.25">
      <c r="B64" s="38" t="s">
        <v>108</v>
      </c>
      <c r="C64" s="110">
        <f>IFERROR(AVERAGEIFS($N$6:$N$41,$D$6:$D$41,"VEL"),"")</f>
        <v>0.6</v>
      </c>
      <c r="D64" s="121">
        <f>'1_Industry_Rubric'!$E$19</f>
        <v>10</v>
      </c>
      <c r="E64" s="109">
        <f t="shared" si="6"/>
        <v>6</v>
      </c>
    </row>
    <row r="65" spans="2:5" ht="15" customHeight="1" x14ac:dyDescent="0.25">
      <c r="B65" s="97" t="s">
        <v>113</v>
      </c>
      <c r="C65" s="114">
        <f>IFERROR(AVERAGEIFS($N$6:$N$41,$D$6:$D$41,"DE"),"")</f>
        <v>0.6</v>
      </c>
      <c r="D65" s="122">
        <f>'1_Industry_Rubric'!$E$20</f>
        <v>8.5</v>
      </c>
      <c r="E65" s="113">
        <f t="shared" si="6"/>
        <v>5.0999999999999996</v>
      </c>
    </row>
    <row r="66" spans="2:5" ht="18" customHeight="1" x14ac:dyDescent="0.25"/>
    <row r="67" spans="2:5" ht="18" customHeight="1" x14ac:dyDescent="0.25"/>
    <row r="68" spans="2:5" ht="15" customHeight="1" x14ac:dyDescent="0.25">
      <c r="B68" s="56" t="s">
        <v>767</v>
      </c>
      <c r="C68" s="118">
        <f>IFERROR(SUM($O$6:$O$41)/SUM($M$6:$M$41),"")</f>
        <v>5.5625806451612876</v>
      </c>
    </row>
    <row r="69" spans="2:5" ht="15" customHeight="1" x14ac:dyDescent="0.25">
      <c r="B69" s="56" t="s">
        <v>768</v>
      </c>
      <c r="C69" s="118">
        <f>IFERROR(SUMPRODUCT($K$6:$K$41*$M$6:$M$41)/SUM($M$6:$M$41),"")</f>
        <v>9.2548387096774221</v>
      </c>
    </row>
    <row r="70" spans="2:5" ht="15" customHeight="1" x14ac:dyDescent="0.25">
      <c r="B70" s="56" t="s">
        <v>769</v>
      </c>
      <c r="C70" s="118">
        <f>IFERROR($C$69-$C$68,"")</f>
        <v>3.6922580645161345</v>
      </c>
    </row>
    <row r="71" spans="2:5" ht="15" customHeight="1" x14ac:dyDescent="0.25">
      <c r="B71" s="56" t="s">
        <v>770</v>
      </c>
      <c r="C71" s="118">
        <f>IFERROR($C$68/$C$69*10,"")</f>
        <v>6.0104566050888764</v>
      </c>
    </row>
    <row r="72" spans="2:5" ht="15" customHeight="1" x14ac:dyDescent="0.25">
      <c r="B72" s="56" t="s">
        <v>771</v>
      </c>
      <c r="C72" s="118">
        <f>IFERROR($E$60,"")</f>
        <v>5.6000000000000005</v>
      </c>
    </row>
    <row r="73" spans="2:5" ht="15" customHeight="1" x14ac:dyDescent="0.25">
      <c r="B73" s="56" t="s">
        <v>772</v>
      </c>
      <c r="C73" s="118">
        <f>IFERROR($E$61,"")</f>
        <v>5.7599999999999989</v>
      </c>
    </row>
    <row r="74" spans="2:5" ht="15" customHeight="1" x14ac:dyDescent="0.25">
      <c r="B74" s="56" t="s">
        <v>773</v>
      </c>
      <c r="C74" s="118">
        <f>IFERROR(MIN($C$72,$C$73),"")</f>
        <v>5.6000000000000005</v>
      </c>
    </row>
    <row r="75" spans="2:5" ht="15" customHeight="1" x14ac:dyDescent="0.25">
      <c r="B75" s="56" t="s">
        <v>774</v>
      </c>
      <c r="C75" s="111" t="str">
        <f>COUNTA($J$6:$J$41)&amp;" of 36"</f>
        <v>36 of 36</v>
      </c>
    </row>
    <row r="76" spans="2:5" ht="18" customHeight="1" x14ac:dyDescent="0.25"/>
    <row r="77" spans="2:5" ht="57" customHeight="1" x14ac:dyDescent="0.25">
      <c r="B77" s="3" t="s">
        <v>775</v>
      </c>
    </row>
    <row r="78" spans="2:5" ht="15" customHeight="1" x14ac:dyDescent="0.25">
      <c r="B78" s="64" t="s">
        <v>776</v>
      </c>
    </row>
    <row r="79" spans="2:5" ht="15" customHeight="1" x14ac:dyDescent="0.25">
      <c r="B79" s="98" t="s">
        <v>777</v>
      </c>
      <c r="C79" s="98" t="s">
        <v>760</v>
      </c>
      <c r="D79" s="98" t="s">
        <v>778</v>
      </c>
      <c r="E79" s="98" t="s">
        <v>779</v>
      </c>
    </row>
    <row r="80" spans="2:5" ht="15" customHeight="1" x14ac:dyDescent="0.25">
      <c r="B80" s="58" t="s">
        <v>436</v>
      </c>
      <c r="C80" s="123">
        <v>6.6666666666666696</v>
      </c>
      <c r="D80" s="108">
        <v>7</v>
      </c>
      <c r="E80" s="124">
        <f>MIN(1,$C80/$D80)</f>
        <v>0.95238095238095277</v>
      </c>
    </row>
    <row r="81" spans="2:9" ht="15" customHeight="1" x14ac:dyDescent="0.25">
      <c r="B81" s="56" t="s">
        <v>780</v>
      </c>
      <c r="C81" s="123">
        <v>7.2</v>
      </c>
      <c r="D81" s="112">
        <v>7</v>
      </c>
      <c r="E81" s="125">
        <f>MIN(1,$C81/$D81)</f>
        <v>1</v>
      </c>
    </row>
    <row r="82" spans="2:9" ht="15" customHeight="1" x14ac:dyDescent="0.25">
      <c r="B82" s="64" t="s">
        <v>781</v>
      </c>
      <c r="C82" s="126">
        <f>MIN($E$80,$E$81)</f>
        <v>0.95238095238095277</v>
      </c>
    </row>
    <row r="83" spans="2:9" ht="62.25" customHeight="1" x14ac:dyDescent="0.25">
      <c r="B83" s="3" t="s">
        <v>782</v>
      </c>
    </row>
    <row r="84" spans="2:9" ht="18" customHeight="1" x14ac:dyDescent="0.25"/>
    <row r="85" spans="2:9" ht="18" customHeight="1" x14ac:dyDescent="0.25"/>
    <row r="86" spans="2:9" ht="15" customHeight="1" x14ac:dyDescent="0.25">
      <c r="B86" s="64" t="s">
        <v>783</v>
      </c>
    </row>
    <row r="87" spans="2:9" ht="45.75" customHeight="1" x14ac:dyDescent="0.25">
      <c r="B87" s="3" t="s">
        <v>784</v>
      </c>
    </row>
    <row r="88" spans="2:9" ht="15" customHeight="1" x14ac:dyDescent="0.25">
      <c r="B88" s="127" t="s">
        <v>785</v>
      </c>
      <c r="C88" s="128" t="s">
        <v>88</v>
      </c>
      <c r="D88" s="128" t="s">
        <v>93</v>
      </c>
      <c r="E88" s="128" t="s">
        <v>98</v>
      </c>
      <c r="F88" s="128" t="s">
        <v>103</v>
      </c>
      <c r="G88" s="128" t="s">
        <v>108</v>
      </c>
      <c r="H88" s="128" t="s">
        <v>113</v>
      </c>
      <c r="I88" s="128" t="s">
        <v>509</v>
      </c>
    </row>
    <row r="89" spans="2:9" ht="15" customHeight="1" x14ac:dyDescent="0.25">
      <c r="B89" s="56" t="s">
        <v>127</v>
      </c>
      <c r="C89" s="129">
        <f t="shared" ref="C89:C98" si="7">IFERROR(IF(COUNTIFS($B$6:$B$41,$B89,$D$6:$D$41,"BD",$N$6:$N$41,"&gt;0")=0,"",AVERAGEIFS($N$6:$N$41,$B$6:$B$41,$B89,$D$6:$D$41,"BD")*5),"")</f>
        <v>3</v>
      </c>
      <c r="D89" s="129" t="str">
        <f t="shared" ref="D89:D98" si="8">IFERROR(IF(COUNTIFS($B$6:$B$41,$B89,$D$6:$D$41,"OA",$N$6:$N$41,"&gt;0")=0,"",AVERAGEIFS($N$6:$N$41,$B$6:$B$41,$B89,$D$6:$D$41,"OA")*5),"")</f>
        <v/>
      </c>
      <c r="E89" s="129">
        <f t="shared" ref="E89:E98" si="9">IFERROR(IF(COUNTIFS($B$6:$B$41,$B89,$D$6:$D$41,"AUT",$N$6:$N$41,"&gt;0")=0,"",AVERAGEIFS($N$6:$N$41,$B$6:$B$41,$B89,$D$6:$D$41,"AUT")*5),"")</f>
        <v>4</v>
      </c>
      <c r="F89" s="129">
        <f t="shared" ref="F89:F98" si="10">IFERROR(IF(COUNTIFS($B$6:$B$41,$B89,$D$6:$D$41,"DC",$N$6:$N$41,"&gt;0")=0,"",AVERAGEIFS($N$6:$N$41,$B$6:$B$41,$B89,$D$6:$D$41,"DC")*5),"")</f>
        <v>3</v>
      </c>
      <c r="G89" s="129">
        <f t="shared" ref="G89:G98" si="11">IFERROR(IF(COUNTIFS($B$6:$B$41,$B89,$D$6:$D$41,"VEL",$N$6:$N$41,"&gt;0")=0,"",AVERAGEIFS($N$6:$N$41,$B$6:$B$41,$B89,$D$6:$D$41,"VEL")*5),"")</f>
        <v>3</v>
      </c>
      <c r="H89" s="129">
        <f t="shared" ref="H89:H98" si="12">IFERROR(IF(COUNTIFS($B$6:$B$41,$B89,$D$6:$D$41,"DE",$N$6:$N$41,"&gt;0")=0,"",AVERAGEIFS($N$6:$N$41,$B$6:$B$41,$B89,$D$6:$D$41,"DE")*5),"")</f>
        <v>2</v>
      </c>
      <c r="I89" s="130">
        <f t="shared" ref="I89:I98" si="13">IFERROR(AVERAGEIFS($N$6:$N$41,$B$6:$B$41,$B89)*5,"")</f>
        <v>3</v>
      </c>
    </row>
    <row r="90" spans="2:9" ht="15" customHeight="1" x14ac:dyDescent="0.25">
      <c r="B90" s="58" t="s">
        <v>158</v>
      </c>
      <c r="C90" s="131">
        <f t="shared" si="7"/>
        <v>3</v>
      </c>
      <c r="D90" s="131">
        <f t="shared" si="8"/>
        <v>3</v>
      </c>
      <c r="E90" s="131" t="str">
        <f t="shared" si="9"/>
        <v/>
      </c>
      <c r="F90" s="131" t="str">
        <f t="shared" si="10"/>
        <v/>
      </c>
      <c r="G90" s="131" t="str">
        <f t="shared" si="11"/>
        <v/>
      </c>
      <c r="H90" s="131" t="str">
        <f t="shared" si="12"/>
        <v/>
      </c>
      <c r="I90" s="132">
        <f t="shared" si="13"/>
        <v>3</v>
      </c>
    </row>
    <row r="91" spans="2:9" ht="15" customHeight="1" x14ac:dyDescent="0.25">
      <c r="B91" s="56" t="s">
        <v>189</v>
      </c>
      <c r="C91" s="129">
        <f t="shared" si="7"/>
        <v>4</v>
      </c>
      <c r="D91" s="129" t="str">
        <f t="shared" si="8"/>
        <v/>
      </c>
      <c r="E91" s="129">
        <f t="shared" si="9"/>
        <v>2</v>
      </c>
      <c r="F91" s="129">
        <f t="shared" si="10"/>
        <v>3</v>
      </c>
      <c r="G91" s="129">
        <f t="shared" si="11"/>
        <v>3</v>
      </c>
      <c r="H91" s="129">
        <f t="shared" si="12"/>
        <v>3</v>
      </c>
      <c r="I91" s="130">
        <f t="shared" si="13"/>
        <v>3</v>
      </c>
    </row>
    <row r="92" spans="2:9" ht="15" customHeight="1" x14ac:dyDescent="0.25">
      <c r="B92" s="58" t="s">
        <v>220</v>
      </c>
      <c r="C92" s="131" t="str">
        <f t="shared" si="7"/>
        <v/>
      </c>
      <c r="D92" s="131">
        <f t="shared" si="8"/>
        <v>3</v>
      </c>
      <c r="E92" s="131">
        <f t="shared" si="9"/>
        <v>3</v>
      </c>
      <c r="F92" s="131">
        <f t="shared" si="10"/>
        <v>3</v>
      </c>
      <c r="G92" s="131" t="str">
        <f t="shared" si="11"/>
        <v/>
      </c>
      <c r="H92" s="131">
        <f t="shared" si="12"/>
        <v>5</v>
      </c>
      <c r="I92" s="132">
        <f t="shared" si="13"/>
        <v>3.5000000000000004</v>
      </c>
    </row>
    <row r="93" spans="2:9" ht="15" customHeight="1" x14ac:dyDescent="0.25">
      <c r="B93" s="56" t="s">
        <v>251</v>
      </c>
      <c r="C93" s="129" t="str">
        <f t="shared" si="7"/>
        <v/>
      </c>
      <c r="D93" s="129" t="str">
        <f t="shared" si="8"/>
        <v/>
      </c>
      <c r="E93" s="129" t="str">
        <f t="shared" si="9"/>
        <v/>
      </c>
      <c r="F93" s="129">
        <f t="shared" si="10"/>
        <v>3</v>
      </c>
      <c r="G93" s="129">
        <f t="shared" si="11"/>
        <v>3</v>
      </c>
      <c r="H93" s="129">
        <f t="shared" si="12"/>
        <v>2</v>
      </c>
      <c r="I93" s="130">
        <f t="shared" si="13"/>
        <v>2.6666666666666665</v>
      </c>
    </row>
    <row r="94" spans="2:9" ht="15" customHeight="1" x14ac:dyDescent="0.25">
      <c r="B94" s="58" t="s">
        <v>282</v>
      </c>
      <c r="C94" s="131">
        <f t="shared" si="7"/>
        <v>3</v>
      </c>
      <c r="D94" s="131" t="str">
        <f t="shared" si="8"/>
        <v/>
      </c>
      <c r="E94" s="131">
        <f t="shared" si="9"/>
        <v>4</v>
      </c>
      <c r="F94" s="131" t="str">
        <f t="shared" si="10"/>
        <v/>
      </c>
      <c r="G94" s="131">
        <f t="shared" si="11"/>
        <v>3</v>
      </c>
      <c r="H94" s="131">
        <f t="shared" si="12"/>
        <v>5</v>
      </c>
      <c r="I94" s="132">
        <f t="shared" si="13"/>
        <v>3.75</v>
      </c>
    </row>
    <row r="95" spans="2:9" ht="15" customHeight="1" x14ac:dyDescent="0.25">
      <c r="B95" s="56" t="s">
        <v>313</v>
      </c>
      <c r="C95" s="129" t="str">
        <f t="shared" si="7"/>
        <v/>
      </c>
      <c r="D95" s="129">
        <f t="shared" si="8"/>
        <v>3</v>
      </c>
      <c r="E95" s="129">
        <f t="shared" si="9"/>
        <v>4</v>
      </c>
      <c r="F95" s="129" t="str">
        <f t="shared" si="10"/>
        <v/>
      </c>
      <c r="G95" s="129" t="str">
        <f t="shared" si="11"/>
        <v/>
      </c>
      <c r="H95" s="129">
        <f t="shared" si="12"/>
        <v>2</v>
      </c>
      <c r="I95" s="130">
        <f t="shared" si="13"/>
        <v>3</v>
      </c>
    </row>
    <row r="96" spans="2:9" ht="15" customHeight="1" x14ac:dyDescent="0.25">
      <c r="B96" s="58" t="s">
        <v>344</v>
      </c>
      <c r="C96" s="131">
        <f t="shared" si="7"/>
        <v>1</v>
      </c>
      <c r="D96" s="131" t="str">
        <f t="shared" si="8"/>
        <v/>
      </c>
      <c r="E96" s="131" t="str">
        <f t="shared" si="9"/>
        <v/>
      </c>
      <c r="F96" s="131">
        <f t="shared" si="10"/>
        <v>3</v>
      </c>
      <c r="G96" s="131" t="str">
        <f t="shared" si="11"/>
        <v/>
      </c>
      <c r="H96" s="131">
        <f t="shared" si="12"/>
        <v>2</v>
      </c>
      <c r="I96" s="132">
        <f t="shared" si="13"/>
        <v>2.0000000000000004</v>
      </c>
    </row>
    <row r="97" spans="2:9" ht="15" customHeight="1" x14ac:dyDescent="0.25">
      <c r="B97" s="56" t="s">
        <v>375</v>
      </c>
      <c r="C97" s="129" t="str">
        <f t="shared" si="7"/>
        <v/>
      </c>
      <c r="D97" s="129">
        <f t="shared" si="8"/>
        <v>4</v>
      </c>
      <c r="E97" s="129">
        <f t="shared" si="9"/>
        <v>2</v>
      </c>
      <c r="F97" s="129">
        <f t="shared" si="10"/>
        <v>4</v>
      </c>
      <c r="G97" s="129" t="str">
        <f t="shared" si="11"/>
        <v/>
      </c>
      <c r="H97" s="129">
        <f t="shared" si="12"/>
        <v>3</v>
      </c>
      <c r="I97" s="130">
        <f t="shared" si="13"/>
        <v>3.2500000000000009</v>
      </c>
    </row>
    <row r="98" spans="2:9" ht="15" customHeight="1" x14ac:dyDescent="0.25">
      <c r="B98" s="58" t="s">
        <v>405</v>
      </c>
      <c r="C98" s="131" t="str">
        <f t="shared" si="7"/>
        <v/>
      </c>
      <c r="D98" s="131">
        <f t="shared" si="8"/>
        <v>3</v>
      </c>
      <c r="E98" s="131">
        <f t="shared" si="9"/>
        <v>2</v>
      </c>
      <c r="F98" s="131" t="str">
        <f t="shared" si="10"/>
        <v/>
      </c>
      <c r="G98" s="131" t="str">
        <f t="shared" si="11"/>
        <v/>
      </c>
      <c r="H98" s="131">
        <f t="shared" si="12"/>
        <v>3</v>
      </c>
      <c r="I98" s="132">
        <f t="shared" si="13"/>
        <v>2.6666666666666665</v>
      </c>
    </row>
    <row r="99" spans="2:9" ht="15" customHeight="1" x14ac:dyDescent="0.25">
      <c r="B99" s="133" t="s">
        <v>786</v>
      </c>
      <c r="C99" s="134">
        <f>IFERROR(AVERAGEIFS($N$6:$N$41,$D$6:$D$41,"BD")*5,"")</f>
        <v>2.8000000000000003</v>
      </c>
      <c r="D99" s="134">
        <f>IFERROR(AVERAGEIFS($N$6:$N$41,$D$6:$D$41,"OA")*5,"")</f>
        <v>3.1999999999999993</v>
      </c>
      <c r="E99" s="134">
        <f>IFERROR(AVERAGEIFS($N$6:$N$41,$D$6:$D$41,"AUT")*5,"")</f>
        <v>3</v>
      </c>
      <c r="F99" s="134">
        <f>IFERROR(AVERAGEIFS($N$6:$N$41,$D$6:$D$41,"DC")*5,"")</f>
        <v>3.1666666666666665</v>
      </c>
      <c r="G99" s="134">
        <f>IFERROR(AVERAGEIFS($N$6:$N$41,$D$6:$D$41,"VEL")*5,"")</f>
        <v>3</v>
      </c>
      <c r="H99" s="134">
        <f>IFERROR(AVERAGEIFS($N$6:$N$41,$D$6:$D$41,"DE")*5,"")</f>
        <v>3</v>
      </c>
      <c r="I99" s="135">
        <f>IFERROR(AVERAGE($N$6:$N$41)*5,"")</f>
        <v>3.0277777777777781</v>
      </c>
    </row>
  </sheetData>
  <mergeCells count="1">
    <mergeCell ref="B3:D3"/>
  </mergeCells>
  <conditionalFormatting sqref="C89:H98">
    <cfRule type="cellIs" dxfId="4" priority="2" operator="between">
      <formula>4.5</formula>
      <formula>9</formula>
    </cfRule>
    <cfRule type="cellIs" dxfId="3" priority="3" operator="between">
      <formula>3.5</formula>
      <formula>4.49</formula>
    </cfRule>
    <cfRule type="cellIs" dxfId="2" priority="4" operator="between">
      <formula>2.5</formula>
      <formula>3.49</formula>
    </cfRule>
    <cfRule type="cellIs" dxfId="1" priority="5" operator="between">
      <formula>1.5</formula>
      <formula>2.49</formula>
    </cfRule>
    <cfRule type="cellIs" dxfId="0" priority="6" operator="between">
      <formula>0</formula>
      <formula>1.49</formula>
    </cfRule>
  </conditionalFormatting>
  <dataValidations count="1">
    <dataValidation type="list" allowBlank="1" showInputMessage="1" promptTitle="Select the level" prompt="Read the five descriptions to the left. Pick what the company can evidence today, not what it is aiming for. L4 and L5 need verifiable evidence." sqref="J6:J41" xr:uid="{00000000-0002-0000-0200-000000000000}">
      <formula1>"L1,L2,L3,L4,L5"</formula1>
      <formula2>0</formula2>
    </dataValidation>
  </dataValidations>
  <pageMargins left="0.75" right="0.75" top="1" bottom="1" header="0.511811023622047" footer="0.511811023622047"/>
  <pageSetup paperSize="9"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D4FF"/>
    <pageSetUpPr fitToPage="1"/>
  </sheetPr>
  <dimension ref="A1:K49"/>
  <sheetViews>
    <sheetView showGridLines="0" zoomScale="90" zoomScaleNormal="90" workbookViewId="0">
      <pane xSplit="2" ySplit="5" topLeftCell="C6" activePane="bottomRight" state="frozen"/>
      <selection pane="topRight" activeCell="C1" sqref="C1"/>
      <selection pane="bottomLeft" activeCell="A6" sqref="A6"/>
      <selection pane="bottomRight" activeCell="N13" sqref="N13"/>
    </sheetView>
  </sheetViews>
  <sheetFormatPr defaultColWidth="8.7109375" defaultRowHeight="15" x14ac:dyDescent="0.25"/>
  <cols>
    <col min="1" max="1" width="9" customWidth="1"/>
    <col min="2" max="2" width="34" customWidth="1"/>
    <col min="3" max="5" width="18" customWidth="1"/>
    <col min="6" max="7" width="9" customWidth="1"/>
    <col min="8" max="8" width="11" customWidth="1"/>
    <col min="9" max="12" width="15" customWidth="1"/>
  </cols>
  <sheetData>
    <row r="1" spans="1:11" ht="43.5" customHeight="1" x14ac:dyDescent="0.25">
      <c r="A1" s="136"/>
    </row>
    <row r="2" spans="1:11" ht="33.75" customHeight="1" x14ac:dyDescent="0.25">
      <c r="A2" s="137"/>
      <c r="B2" s="507" t="s">
        <v>769</v>
      </c>
      <c r="C2" s="507"/>
      <c r="D2" s="507"/>
    </row>
    <row r="3" spans="1:11" ht="36" customHeight="1" x14ac:dyDescent="0.25">
      <c r="B3" s="500" t="s">
        <v>787</v>
      </c>
      <c r="C3" s="500"/>
      <c r="D3" s="500"/>
      <c r="E3" s="500"/>
      <c r="F3" s="500"/>
      <c r="G3" s="500"/>
      <c r="H3" s="500"/>
      <c r="I3" s="500"/>
      <c r="J3" s="500"/>
    </row>
    <row r="4" spans="1:11" ht="15" customHeight="1" x14ac:dyDescent="0.25"/>
    <row r="5" spans="1:11" ht="30" customHeight="1" x14ac:dyDescent="0.25">
      <c r="A5" s="138"/>
      <c r="B5" s="139" t="s">
        <v>493</v>
      </c>
      <c r="C5" s="139" t="s">
        <v>760</v>
      </c>
      <c r="D5" s="139" t="s">
        <v>495</v>
      </c>
      <c r="E5" s="139" t="s">
        <v>761</v>
      </c>
      <c r="F5" s="139" t="s">
        <v>762</v>
      </c>
      <c r="G5" s="139" t="s">
        <v>788</v>
      </c>
      <c r="H5" s="139" t="s">
        <v>789</v>
      </c>
      <c r="I5" s="139" t="s">
        <v>790</v>
      </c>
      <c r="J5" s="139" t="s">
        <v>791</v>
      </c>
      <c r="K5" s="139" t="s">
        <v>792</v>
      </c>
    </row>
    <row r="6" spans="1:11" ht="15" customHeight="1" x14ac:dyDescent="0.25">
      <c r="B6" s="58" t="str">
        <f>'2_Capability_Assessment'!$B$46</f>
        <v>Product and services differentiation</v>
      </c>
      <c r="C6" s="116">
        <f>'2_Capability_Assessment'!$C$46</f>
        <v>5.9882352941176471</v>
      </c>
      <c r="D6" s="116">
        <f>'2_Capability_Assessment'!$D$46</f>
        <v>9.5</v>
      </c>
      <c r="E6" s="116">
        <f t="shared" ref="E6:E15" si="0">IFERROR($D6-$C6,"")</f>
        <v>3.5117647058823529</v>
      </c>
      <c r="F6" s="140">
        <f t="shared" ref="F6:G15" si="1">IFERROR($C6/$D6,"")</f>
        <v>0.63034055727554184</v>
      </c>
      <c r="G6" s="141">
        <f t="shared" si="1"/>
        <v>0.63034055727554184</v>
      </c>
      <c r="H6" s="142">
        <f>IFERROR('4b_Value_Pools_by_Capability'!$L$15,"")</f>
        <v>0.72535895437430553</v>
      </c>
      <c r="I6" s="143">
        <f>IFERROR('4b_Value_Pools_by_Capability'!$E$15,"")</f>
        <v>187500000</v>
      </c>
      <c r="J6" s="143">
        <f>IFERROR('4b_Value_Pools_by_Capability'!$O$15,"")</f>
        <v>21893199.131100915</v>
      </c>
      <c r="K6" s="143">
        <f t="shared" ref="K6:K15" si="2">IFERROR($I6-$J6,"")</f>
        <v>165606800.86889908</v>
      </c>
    </row>
    <row r="7" spans="1:11" ht="24" customHeight="1" x14ac:dyDescent="0.25">
      <c r="B7" s="77" t="str">
        <f>'2_Capability_Assessment'!$B$47</f>
        <v>Pricing and packaging</v>
      </c>
      <c r="C7" s="144">
        <f>'2_Capability_Assessment'!$C$47</f>
        <v>5.7000000000000011</v>
      </c>
      <c r="D7" s="144">
        <f>'2_Capability_Assessment'!$D$47</f>
        <v>9.4500000000000011</v>
      </c>
      <c r="E7" s="144">
        <f t="shared" si="0"/>
        <v>3.75</v>
      </c>
      <c r="F7" s="145">
        <f t="shared" si="1"/>
        <v>0.60317460317460325</v>
      </c>
      <c r="G7" s="146">
        <f t="shared" si="1"/>
        <v>0.60317460317460325</v>
      </c>
      <c r="H7" s="147">
        <f>IFERROR('4b_Value_Pools_by_Capability'!$L$16,"")</f>
        <v>0.72535895437430553</v>
      </c>
      <c r="I7" s="148">
        <f>IFERROR('4b_Value_Pools_by_Capability'!$E$16,"")</f>
        <v>101250000.00000001</v>
      </c>
      <c r="J7" s="148">
        <f>IFERROR('4b_Value_Pools_by_Capability'!$O$16,"")</f>
        <v>7070510.9669291871</v>
      </c>
      <c r="K7" s="148">
        <f t="shared" si="2"/>
        <v>94179489.033070832</v>
      </c>
    </row>
    <row r="8" spans="1:11" ht="15" customHeight="1" x14ac:dyDescent="0.25">
      <c r="B8" s="58" t="str">
        <f>'2_Capability_Assessment'!$B$48</f>
        <v>Sales effectiveness</v>
      </c>
      <c r="C8" s="116">
        <f>'2_Capability_Assessment'!$C$48</f>
        <v>5.5555555555555562</v>
      </c>
      <c r="D8" s="116">
        <f>'2_Capability_Assessment'!$D$48</f>
        <v>9.5250000000000004</v>
      </c>
      <c r="E8" s="116">
        <f t="shared" si="0"/>
        <v>3.9694444444444441</v>
      </c>
      <c r="F8" s="140">
        <f t="shared" si="1"/>
        <v>0.58326042578011084</v>
      </c>
      <c r="G8" s="141">
        <f t="shared" si="1"/>
        <v>0.58326042578011084</v>
      </c>
      <c r="H8" s="142">
        <f>IFERROR('4b_Value_Pools_by_Capability'!$L$17,"")</f>
        <v>0.72535895437430553</v>
      </c>
      <c r="I8" s="143">
        <f>IFERROR('4b_Value_Pools_by_Capability'!$E$17,"")</f>
        <v>41400000</v>
      </c>
      <c r="J8" s="143">
        <f>IFERROR('4b_Value_Pools_by_Capability'!$O$17,"")</f>
        <v>3913844.8759241463</v>
      </c>
      <c r="K8" s="143">
        <f t="shared" si="2"/>
        <v>37486155.124075852</v>
      </c>
    </row>
    <row r="9" spans="1:11" ht="15" customHeight="1" x14ac:dyDescent="0.25">
      <c r="B9" s="77" t="str">
        <f>'2_Capability_Assessment'!$B$49</f>
        <v>Customer retention and expansion</v>
      </c>
      <c r="C9" s="144">
        <f>'2_Capability_Assessment'!$C$49</f>
        <v>6.0352941176470587</v>
      </c>
      <c r="D9" s="144">
        <f>'2_Capability_Assessment'!$D$49</f>
        <v>9.1999999999999993</v>
      </c>
      <c r="E9" s="144">
        <f t="shared" si="0"/>
        <v>3.1647058823529406</v>
      </c>
      <c r="F9" s="145">
        <f t="shared" si="1"/>
        <v>0.65601023017902815</v>
      </c>
      <c r="G9" s="146">
        <f t="shared" si="1"/>
        <v>0.65601023017902815</v>
      </c>
      <c r="H9" s="147">
        <f>IFERROR('4b_Value_Pools_by_Capability'!$L$18,"")</f>
        <v>0.72535895437430553</v>
      </c>
      <c r="I9" s="148">
        <f>IFERROR('4b_Value_Pools_by_Capability'!$E$18,"")</f>
        <v>28500000</v>
      </c>
      <c r="J9" s="148">
        <f>IFERROR('4b_Value_Pools_by_Capability'!$O$18,"")</f>
        <v>2597463.4150631917</v>
      </c>
      <c r="K9" s="148">
        <f t="shared" si="2"/>
        <v>25902536.584936809</v>
      </c>
    </row>
    <row r="10" spans="1:11" ht="15" customHeight="1" x14ac:dyDescent="0.25">
      <c r="B10" s="58" t="str">
        <f>'2_Capability_Assessment'!$B$50</f>
        <v>Ecosystem strategy</v>
      </c>
      <c r="C10" s="116">
        <f>'2_Capability_Assessment'!$C$50</f>
        <v>5.2769230769230759</v>
      </c>
      <c r="D10" s="116">
        <f>'2_Capability_Assessment'!$D$50</f>
        <v>9.3249999999999993</v>
      </c>
      <c r="E10" s="116">
        <f t="shared" si="0"/>
        <v>4.0480769230769234</v>
      </c>
      <c r="F10" s="140">
        <f t="shared" si="1"/>
        <v>0.56588987420086612</v>
      </c>
      <c r="G10" s="141">
        <f t="shared" si="1"/>
        <v>0.56588987420086612</v>
      </c>
      <c r="H10" s="142">
        <f>IFERROR('4b_Value_Pools_by_Capability'!$L$19,"")</f>
        <v>0.72535895437430553</v>
      </c>
      <c r="I10" s="143">
        <f>IFERROR('4b_Value_Pools_by_Capability'!$E$19,"")</f>
        <v>9000000</v>
      </c>
      <c r="J10" s="143">
        <f>IFERROR('4b_Value_Pools_by_Capability'!$O$19,"")</f>
        <v>530676.26396109106</v>
      </c>
      <c r="K10" s="143">
        <f t="shared" si="2"/>
        <v>8469323.7360389084</v>
      </c>
    </row>
    <row r="11" spans="1:11" ht="15" customHeight="1" x14ac:dyDescent="0.25">
      <c r="B11" s="77" t="str">
        <f>'2_Capability_Assessment'!$B$51</f>
        <v>Product engineering</v>
      </c>
      <c r="C11" s="144">
        <f>'2_Capability_Assessment'!$C$51</f>
        <v>7.1529411764705895</v>
      </c>
      <c r="D11" s="144">
        <f>'2_Capability_Assessment'!$D$51</f>
        <v>9.4000000000000021</v>
      </c>
      <c r="E11" s="144">
        <f t="shared" si="0"/>
        <v>2.2470588235294127</v>
      </c>
      <c r="F11" s="145">
        <f t="shared" si="1"/>
        <v>0.76095118898623271</v>
      </c>
      <c r="G11" s="146">
        <f t="shared" si="1"/>
        <v>0.76095118898623271</v>
      </c>
      <c r="H11" s="147">
        <f>IFERROR('4b_Value_Pools_by_Capability'!$L$20,"")</f>
        <v>0.72535895437430553</v>
      </c>
      <c r="I11" s="148">
        <f>IFERROR('4b_Value_Pools_by_Capability'!$E$20,"")</f>
        <v>68640000</v>
      </c>
      <c r="J11" s="148">
        <f>IFERROR('4b_Value_Pools_by_Capability'!$O$20,"")</f>
        <v>10280061.607610807</v>
      </c>
      <c r="K11" s="148">
        <f t="shared" si="2"/>
        <v>58359938.392389193</v>
      </c>
    </row>
    <row r="12" spans="1:11" ht="24" customHeight="1" x14ac:dyDescent="0.25">
      <c r="B12" s="58" t="str">
        <f>'2_Capability_Assessment'!$B$52</f>
        <v>Revenue operations</v>
      </c>
      <c r="C12" s="116">
        <f>'2_Capability_Assessment'!$C$52</f>
        <v>6.0714285714285712</v>
      </c>
      <c r="D12" s="116">
        <f>'2_Capability_Assessment'!$D$52</f>
        <v>9.3000000000000007</v>
      </c>
      <c r="E12" s="116">
        <f t="shared" si="0"/>
        <v>3.2285714285714295</v>
      </c>
      <c r="F12" s="140">
        <f t="shared" si="1"/>
        <v>0.65284178187403985</v>
      </c>
      <c r="G12" s="141">
        <f t="shared" si="1"/>
        <v>0.65284178187403985</v>
      </c>
      <c r="H12" s="142">
        <f>IFERROR('4b_Value_Pools_by_Capability'!$L$21,"")</f>
        <v>0.72535895437430553</v>
      </c>
      <c r="I12" s="143">
        <f>IFERROR('4b_Value_Pools_by_Capability'!$E$21,"")</f>
        <v>10800000</v>
      </c>
      <c r="J12" s="143">
        <f>IFERROR('4b_Value_Pools_by_Capability'!$O$21,"")</f>
        <v>1061176.8581944646</v>
      </c>
      <c r="K12" s="143">
        <f t="shared" si="2"/>
        <v>9738823.1418055352</v>
      </c>
    </row>
    <row r="13" spans="1:11" ht="24" customHeight="1" x14ac:dyDescent="0.25">
      <c r="B13" s="77" t="str">
        <f>'2_Capability_Assessment'!$B$53</f>
        <v>Supplier and infrastructure cost</v>
      </c>
      <c r="C13" s="144">
        <f>'2_Capability_Assessment'!$C$53</f>
        <v>3.3866666666666667</v>
      </c>
      <c r="D13" s="144">
        <f>'2_Capability_Assessment'!$D$53</f>
        <v>9.0250000000000004</v>
      </c>
      <c r="E13" s="144">
        <f t="shared" si="0"/>
        <v>5.6383333333333336</v>
      </c>
      <c r="F13" s="145">
        <f t="shared" si="1"/>
        <v>0.37525392428439519</v>
      </c>
      <c r="G13" s="146">
        <f t="shared" si="1"/>
        <v>0.37525392428439519</v>
      </c>
      <c r="H13" s="147">
        <f>IFERROR('4b_Value_Pools_by_Capability'!$L$22,"")</f>
        <v>0.72535895437430553</v>
      </c>
      <c r="I13" s="148">
        <f>IFERROR('4b_Value_Pools_by_Capability'!$E$22,"")</f>
        <v>16199999.999999996</v>
      </c>
      <c r="J13" s="148">
        <f>IFERROR('4b_Value_Pools_by_Capability'!$O$22,"")</f>
        <v>281522.40872971766</v>
      </c>
      <c r="K13" s="148">
        <f t="shared" si="2"/>
        <v>15918477.591270279</v>
      </c>
    </row>
    <row r="14" spans="1:11" ht="15" customHeight="1" x14ac:dyDescent="0.25">
      <c r="B14" s="77" t="str">
        <f>'2_Capability_Assessment'!$B$54</f>
        <v>Employee experience</v>
      </c>
      <c r="C14" s="144">
        <f>'2_Capability_Assessment'!$C$54</f>
        <v>5.2687499999999998</v>
      </c>
      <c r="D14" s="82">
        <f>'2_Capability_Assessment'!$D$54</f>
        <v>9.2249999999999996</v>
      </c>
      <c r="E14" s="82">
        <f t="shared" si="0"/>
        <v>3.9562499999999998</v>
      </c>
      <c r="F14" s="145">
        <f t="shared" si="1"/>
        <v>0.57113821138211385</v>
      </c>
      <c r="G14" s="149">
        <f t="shared" si="1"/>
        <v>0.57113821138211385</v>
      </c>
      <c r="H14" s="150">
        <f>IFERROR('4b_Value_Pools_by_Capability'!$L$23,"")</f>
        <v>0.72535895437430553</v>
      </c>
      <c r="I14" s="151">
        <f>IFERROR('4b_Value_Pools_by_Capability'!$E$23,"")</f>
        <v>21600000</v>
      </c>
      <c r="J14" s="151">
        <f>IFERROR('4b_Value_Pools_by_Capability'!$O$23,"")</f>
        <v>1999565.9153509198</v>
      </c>
      <c r="K14" s="151">
        <f t="shared" si="2"/>
        <v>19600434.084649079</v>
      </c>
    </row>
    <row r="15" spans="1:11" ht="15" customHeight="1" x14ac:dyDescent="0.25">
      <c r="A15" s="138"/>
      <c r="B15" s="56" t="str">
        <f>'2_Capability_Assessment'!$B$55</f>
        <v>Capital efficiency</v>
      </c>
      <c r="C15" s="118">
        <f>'2_Capability_Assessment'!$C$55</f>
        <v>4.8357142857142854</v>
      </c>
      <c r="D15" s="118">
        <f>'2_Capability_Assessment'!$D$55</f>
        <v>9.1750000000000007</v>
      </c>
      <c r="E15" s="118">
        <f t="shared" si="0"/>
        <v>4.3392857142857153</v>
      </c>
      <c r="F15" s="152">
        <f t="shared" si="1"/>
        <v>0.52705332814324635</v>
      </c>
      <c r="G15" s="153">
        <f t="shared" si="1"/>
        <v>0.52705332814324635</v>
      </c>
      <c r="H15" s="154">
        <f>IFERROR('4b_Value_Pools_by_Capability'!$L$24,"")</f>
        <v>0.72535895437430553</v>
      </c>
      <c r="I15" s="155">
        <f>IFERROR('4b_Value_Pools_by_Capability'!$E$24,"")</f>
        <v>0</v>
      </c>
      <c r="J15" s="155">
        <f>IFERROR('4b_Value_Pools_by_Capability'!$O$24,"")</f>
        <v>0</v>
      </c>
      <c r="K15" s="155">
        <f t="shared" si="2"/>
        <v>0</v>
      </c>
    </row>
    <row r="16" spans="1:11" ht="15" customHeight="1" x14ac:dyDescent="0.25">
      <c r="A16" s="156"/>
      <c r="B16" s="156"/>
      <c r="C16" s="156"/>
      <c r="D16" s="156"/>
      <c r="E16" s="156"/>
      <c r="F16" s="156"/>
      <c r="G16" s="156"/>
    </row>
    <row r="17" spans="1:11" ht="15" customHeight="1" x14ac:dyDescent="0.25">
      <c r="A17" s="157"/>
      <c r="B17" s="64" t="s">
        <v>793</v>
      </c>
      <c r="C17" s="158" t="str">
        <f>IFERROR(INDEX('2_Capability_Assessment'!$B$60:$B$65,MATCH(MIN('2_Capability_Assessment'!$E$60:$E$65),'2_Capability_Assessment'!$E$60:$E$65,0)),"")</f>
        <v>DE</v>
      </c>
      <c r="D17" s="159"/>
      <c r="E17" s="160"/>
      <c r="F17" s="161"/>
      <c r="G17" s="162"/>
    </row>
    <row r="18" spans="1:11" ht="15" customHeight="1" x14ac:dyDescent="0.25">
      <c r="A18" s="157"/>
      <c r="B18" s="163"/>
      <c r="C18" s="164"/>
      <c r="D18" s="164"/>
      <c r="E18" s="164"/>
      <c r="F18" s="165"/>
      <c r="G18" s="162"/>
    </row>
    <row r="19" spans="1:11" ht="15" customHeight="1" x14ac:dyDescent="0.25">
      <c r="A19" s="157"/>
      <c r="B19" s="166" t="s">
        <v>436</v>
      </c>
      <c r="C19" s="167">
        <f>'2_Capability_Assessment'!$C$80</f>
        <v>6.6666666666666696</v>
      </c>
      <c r="D19" s="167">
        <v>10</v>
      </c>
      <c r="E19" s="168">
        <f>IFERROR($C19/$D19,0)</f>
        <v>0.66666666666666696</v>
      </c>
      <c r="F19" s="169" t="str">
        <f>IF($C19=0,"not scored",IF($C19&lt;7,"CAPPING","clear"))</f>
        <v>CAPPING</v>
      </c>
      <c r="G19" s="162"/>
    </row>
    <row r="20" spans="1:11" ht="15" customHeight="1" x14ac:dyDescent="0.25">
      <c r="A20" s="157"/>
      <c r="B20" s="170" t="s">
        <v>461</v>
      </c>
      <c r="C20" s="171">
        <f>'2_Capability_Assessment'!$C$81</f>
        <v>7.2</v>
      </c>
      <c r="D20" s="171">
        <v>10</v>
      </c>
      <c r="E20" s="172">
        <f>IFERROR($C20/$D20,0)</f>
        <v>0.72</v>
      </c>
      <c r="F20" s="172" t="str">
        <f>IF($C20=0,"not scored",IF($C20&lt;7,"CAPPING","clear"))</f>
        <v>clear</v>
      </c>
      <c r="G20" s="162"/>
    </row>
    <row r="21" spans="1:11" ht="27.75" customHeight="1" x14ac:dyDescent="0.25">
      <c r="A21" s="157"/>
      <c r="B21" s="64" t="s">
        <v>794</v>
      </c>
      <c r="C21" s="173">
        <f>'2_Capability_Assessment'!$C$82</f>
        <v>0.95238095238095277</v>
      </c>
      <c r="D21" s="159"/>
      <c r="E21" s="509" t="s">
        <v>795</v>
      </c>
      <c r="F21" s="509"/>
      <c r="G21" s="509"/>
      <c r="H21" s="509"/>
      <c r="I21" s="509"/>
      <c r="J21" s="509"/>
      <c r="K21" s="509"/>
    </row>
    <row r="22" spans="1:11" ht="15" customHeight="1" x14ac:dyDescent="0.25">
      <c r="A22" s="157"/>
      <c r="B22" s="174"/>
      <c r="C22" s="159"/>
      <c r="D22" s="159"/>
      <c r="E22" s="160"/>
      <c r="F22" s="161"/>
      <c r="G22" s="162"/>
    </row>
    <row r="23" spans="1:11" ht="15" customHeight="1" x14ac:dyDescent="0.25">
      <c r="A23" s="157"/>
      <c r="B23" s="174"/>
      <c r="C23" s="159"/>
      <c r="D23" s="159"/>
      <c r="E23" s="160"/>
      <c r="F23" s="161"/>
      <c r="G23" s="162"/>
    </row>
    <row r="24" spans="1:11" ht="43.5" customHeight="1" x14ac:dyDescent="0.25">
      <c r="A24" s="157"/>
      <c r="B24" s="498" t="s">
        <v>796</v>
      </c>
      <c r="C24" s="498"/>
      <c r="D24" s="498"/>
      <c r="E24" s="498"/>
      <c r="F24" s="498"/>
      <c r="G24" s="498"/>
      <c r="H24" s="498"/>
      <c r="I24" s="498"/>
      <c r="J24" s="498"/>
      <c r="K24" s="498"/>
    </row>
    <row r="25" spans="1:11" ht="15" customHeight="1" x14ac:dyDescent="0.25">
      <c r="A25" s="157"/>
      <c r="B25" s="174"/>
      <c r="C25" s="159"/>
      <c r="D25" s="159"/>
      <c r="E25" s="160"/>
      <c r="F25" s="175"/>
      <c r="G25" s="162"/>
    </row>
    <row r="26" spans="1:11" ht="15" customHeight="1" x14ac:dyDescent="0.25">
      <c r="A26" s="157"/>
      <c r="B26" s="174"/>
      <c r="C26" s="159"/>
      <c r="D26" s="159"/>
      <c r="E26" s="160"/>
      <c r="F26" s="175"/>
      <c r="G26" s="162"/>
    </row>
    <row r="27" spans="1:11" ht="15" customHeight="1" x14ac:dyDescent="0.25">
      <c r="A27" s="176"/>
      <c r="B27" s="174"/>
      <c r="C27" s="177"/>
      <c r="D27" s="176"/>
      <c r="E27" s="177"/>
      <c r="F27" s="178"/>
      <c r="G27" s="176"/>
    </row>
    <row r="28" spans="1:11" ht="21.75" customHeight="1" x14ac:dyDescent="0.25">
      <c r="A28" s="137"/>
    </row>
    <row r="29" spans="1:11" ht="15" customHeight="1" x14ac:dyDescent="0.25"/>
    <row r="30" spans="1:11" ht="15" customHeight="1" x14ac:dyDescent="0.25">
      <c r="A30" s="138"/>
      <c r="B30" s="179"/>
      <c r="C30" s="179"/>
      <c r="D30" s="179"/>
      <c r="E30" s="179"/>
      <c r="F30" s="179"/>
      <c r="G30" s="179"/>
    </row>
    <row r="31" spans="1:11" ht="15" customHeight="1" x14ac:dyDescent="0.25">
      <c r="A31" s="137"/>
    </row>
    <row r="32" spans="1:11" ht="38.25" customHeight="1" x14ac:dyDescent="0.25">
      <c r="A32" s="156"/>
      <c r="B32" s="156"/>
      <c r="C32" s="156"/>
      <c r="D32" s="156"/>
      <c r="E32" s="156"/>
      <c r="F32" s="156"/>
      <c r="G32" s="156"/>
    </row>
    <row r="33" spans="1:7" ht="15" customHeight="1" x14ac:dyDescent="0.25">
      <c r="B33" s="174"/>
      <c r="C33" s="177"/>
      <c r="D33" s="177"/>
      <c r="E33" s="177"/>
    </row>
    <row r="34" spans="1:7" ht="15" customHeight="1" x14ac:dyDescent="0.25">
      <c r="B34" s="174"/>
      <c r="C34" s="180"/>
      <c r="D34" s="180"/>
      <c r="E34" s="180"/>
      <c r="G34" s="181"/>
    </row>
    <row r="35" spans="1:7" ht="15" customHeight="1" x14ac:dyDescent="0.25">
      <c r="B35" s="174"/>
      <c r="C35" s="182"/>
      <c r="D35" s="182"/>
      <c r="E35" s="182"/>
    </row>
    <row r="36" spans="1:7" ht="15" customHeight="1" x14ac:dyDescent="0.25">
      <c r="B36" s="174"/>
      <c r="C36" s="177"/>
      <c r="D36" s="177"/>
      <c r="E36" s="177"/>
    </row>
    <row r="37" spans="1:7" ht="15" customHeight="1" x14ac:dyDescent="0.25">
      <c r="B37" s="174"/>
      <c r="C37" s="177"/>
      <c r="D37" s="177"/>
      <c r="E37" s="177"/>
      <c r="G37" s="181"/>
    </row>
    <row r="38" spans="1:7" ht="15" customHeight="1" x14ac:dyDescent="0.25"/>
    <row r="39" spans="1:7" ht="15" customHeight="1" x14ac:dyDescent="0.25">
      <c r="A39" s="137"/>
    </row>
    <row r="40" spans="1:7" ht="15" customHeight="1" x14ac:dyDescent="0.25"/>
    <row r="41" spans="1:7" ht="15" customHeight="1" x14ac:dyDescent="0.25">
      <c r="A41" s="138"/>
    </row>
    <row r="42" spans="1:7" ht="15" customHeight="1" x14ac:dyDescent="0.25">
      <c r="A42" s="181"/>
    </row>
    <row r="43" spans="1:7" ht="15" customHeight="1" x14ac:dyDescent="0.25">
      <c r="B43" s="174"/>
      <c r="C43" s="183"/>
      <c r="G43" s="181"/>
    </row>
    <row r="44" spans="1:7" ht="15" customHeight="1" x14ac:dyDescent="0.25">
      <c r="B44" s="174"/>
      <c r="C44" s="184"/>
      <c r="G44" s="181"/>
    </row>
    <row r="45" spans="1:7" ht="15" customHeight="1" x14ac:dyDescent="0.25">
      <c r="B45" s="174"/>
      <c r="C45" s="185"/>
      <c r="G45" s="181"/>
    </row>
    <row r="46" spans="1:7" ht="15" customHeight="1" x14ac:dyDescent="0.25">
      <c r="B46" s="174"/>
      <c r="C46" s="186"/>
      <c r="G46" s="181"/>
    </row>
    <row r="47" spans="1:7" ht="15" customHeight="1" x14ac:dyDescent="0.25">
      <c r="B47" s="174"/>
      <c r="C47" s="186"/>
      <c r="G47" s="181"/>
    </row>
    <row r="48" spans="1:7" ht="15" customHeight="1" x14ac:dyDescent="0.25"/>
    <row r="49" spans="1:1" ht="15" customHeight="1" x14ac:dyDescent="0.25">
      <c r="A49" s="181"/>
    </row>
  </sheetData>
  <mergeCells count="4">
    <mergeCell ref="B2:D2"/>
    <mergeCell ref="B3:J3"/>
    <mergeCell ref="E21:K21"/>
    <mergeCell ref="B24:K24"/>
  </mergeCells>
  <pageMargins left="0.75" right="0.75" top="1" bottom="1" header="0.511811023622047" footer="0.511811023622047"/>
  <pageSetup paperSize="9"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A2540"/>
    <pageSetUpPr fitToPage="1"/>
  </sheetPr>
  <dimension ref="A1:AH93"/>
  <sheetViews>
    <sheetView showGridLines="0" zoomScale="90" zoomScaleNormal="90" workbookViewId="0">
      <pane xSplit="2" ySplit="14" topLeftCell="C15" activePane="bottomRight" state="frozen"/>
      <selection pane="topRight" activeCell="C1" sqref="C1"/>
      <selection pane="bottomLeft" activeCell="A15" sqref="A15"/>
      <selection pane="bottomRight" activeCell="E1" sqref="E1"/>
    </sheetView>
  </sheetViews>
  <sheetFormatPr defaultColWidth="8.7109375" defaultRowHeight="15" x14ac:dyDescent="0.25"/>
  <cols>
    <col min="1" max="1" width="9" customWidth="1"/>
    <col min="2" max="2" width="34" customWidth="1"/>
    <col min="3" max="3" width="11" customWidth="1"/>
    <col min="4" max="4" width="13.85546875" customWidth="1"/>
    <col min="5" max="5" width="13" customWidth="1"/>
    <col min="6" max="6" width="46" customWidth="1"/>
    <col min="7" max="7" width="38" customWidth="1"/>
    <col min="8" max="8" width="10" customWidth="1"/>
    <col min="9" max="10" width="9" customWidth="1"/>
    <col min="11" max="14" width="10" customWidth="1"/>
    <col min="15" max="15" width="14" customWidth="1"/>
    <col min="16" max="16" width="9" customWidth="1"/>
    <col min="17" max="18" width="13" customWidth="1"/>
    <col min="22" max="22" width="9" customWidth="1"/>
    <col min="23" max="24" width="13" customWidth="1"/>
    <col min="26" max="26" width="9" customWidth="1"/>
    <col min="27" max="27" width="10" customWidth="1"/>
    <col min="28" max="28" width="13" customWidth="1"/>
    <col min="31" max="31" width="30" customWidth="1"/>
    <col min="32" max="32" width="52" customWidth="1"/>
    <col min="33" max="34" width="13" customWidth="1"/>
  </cols>
  <sheetData>
    <row r="1" spans="1:34" ht="90.75" customHeight="1" x14ac:dyDescent="0.25">
      <c r="B1" s="510" t="s">
        <v>797</v>
      </c>
      <c r="C1" s="510"/>
      <c r="D1" s="510"/>
    </row>
    <row r="2" spans="1:34" ht="36" customHeight="1" x14ac:dyDescent="0.25">
      <c r="B2" s="4" t="s">
        <v>798</v>
      </c>
    </row>
    <row r="3" spans="1:34" ht="18" customHeight="1" x14ac:dyDescent="0.25">
      <c r="B3" s="187" t="s">
        <v>2</v>
      </c>
    </row>
    <row r="4" spans="1:34" ht="18" customHeight="1" x14ac:dyDescent="0.25">
      <c r="A4" s="5"/>
      <c r="B4" s="188" t="s">
        <v>18</v>
      </c>
      <c r="C4" s="189"/>
      <c r="D4" s="190" t="s">
        <v>799</v>
      </c>
      <c r="E4" s="191" t="s">
        <v>800</v>
      </c>
      <c r="F4" s="189"/>
      <c r="G4" s="189"/>
      <c r="H4" s="189"/>
      <c r="I4" s="5"/>
      <c r="J4" s="5"/>
      <c r="K4" s="5"/>
      <c r="L4" s="5"/>
      <c r="M4" s="5"/>
      <c r="N4" s="5"/>
      <c r="O4" s="5"/>
      <c r="P4" s="5"/>
      <c r="Q4" s="5"/>
      <c r="R4" s="5"/>
      <c r="S4" s="5"/>
      <c r="T4" s="5"/>
      <c r="U4" s="5"/>
      <c r="V4" s="5"/>
      <c r="W4" s="5"/>
      <c r="X4" s="5"/>
      <c r="Y4" s="5"/>
      <c r="Z4" s="5"/>
      <c r="AA4" s="5"/>
      <c r="AB4" s="5"/>
      <c r="AC4" s="5"/>
      <c r="AD4" s="5"/>
      <c r="AE4" s="5"/>
    </row>
    <row r="5" spans="1:34" ht="18" customHeight="1" x14ac:dyDescent="0.25">
      <c r="B5" s="192" t="s">
        <v>801</v>
      </c>
      <c r="C5" s="193"/>
      <c r="D5" s="194">
        <v>3300000000</v>
      </c>
      <c r="E5" s="33" t="s">
        <v>802</v>
      </c>
      <c r="F5" s="195"/>
      <c r="G5" s="193"/>
      <c r="H5" s="193"/>
    </row>
    <row r="6" spans="1:34" ht="18" customHeight="1" x14ac:dyDescent="0.25">
      <c r="B6" s="188" t="s">
        <v>10</v>
      </c>
      <c r="D6" s="194">
        <v>1500000000</v>
      </c>
      <c r="E6" s="191" t="s">
        <v>803</v>
      </c>
      <c r="F6" s="196"/>
      <c r="G6" s="197"/>
      <c r="H6" s="198"/>
    </row>
    <row r="7" spans="1:34" ht="18" customHeight="1" x14ac:dyDescent="0.25">
      <c r="B7" s="192" t="s">
        <v>804</v>
      </c>
      <c r="C7" s="193"/>
      <c r="D7" s="199">
        <v>1</v>
      </c>
      <c r="E7" s="33" t="s">
        <v>805</v>
      </c>
      <c r="F7" s="200"/>
      <c r="G7" s="201"/>
      <c r="H7" s="202"/>
    </row>
    <row r="8" spans="1:34" ht="18" customHeight="1" x14ac:dyDescent="0.25">
      <c r="B8" s="188" t="s">
        <v>806</v>
      </c>
      <c r="D8" s="199">
        <v>3.5</v>
      </c>
      <c r="E8" s="191" t="s">
        <v>807</v>
      </c>
      <c r="F8" s="72"/>
    </row>
    <row r="9" spans="1:34" ht="18" customHeight="1" x14ac:dyDescent="0.25">
      <c r="B9" s="192" t="s">
        <v>808</v>
      </c>
      <c r="C9" s="193"/>
      <c r="D9" s="190" t="s">
        <v>809</v>
      </c>
      <c r="E9" s="33" t="s">
        <v>810</v>
      </c>
      <c r="F9" s="193"/>
      <c r="G9" s="193"/>
      <c r="H9" s="193"/>
    </row>
    <row r="10" spans="1:34" ht="18" customHeight="1" x14ac:dyDescent="0.25">
      <c r="B10" s="188" t="s">
        <v>811</v>
      </c>
      <c r="D10" s="203">
        <f>IF($D$5=0,1,MIN(1/(1+EXP(-2*LOG10($D$6/$D$5))),1))</f>
        <v>0.33518072749297406</v>
      </c>
      <c r="E10" s="191" t="s">
        <v>812</v>
      </c>
    </row>
    <row r="11" spans="1:34" ht="18" customHeight="1" x14ac:dyDescent="0.25">
      <c r="B11" s="192" t="s">
        <v>813</v>
      </c>
      <c r="C11" s="193"/>
      <c r="D11" s="204">
        <f>MIN(1,MIN('2_Capability_Assessment'!$C$80,'2_Capability_Assessment'!$C$81)/7)</f>
        <v>0.95238095238095277</v>
      </c>
      <c r="E11" s="33" t="s">
        <v>814</v>
      </c>
      <c r="F11" s="193"/>
      <c r="G11" s="193"/>
      <c r="H11" s="193"/>
    </row>
    <row r="12" spans="1:34" ht="18" customHeight="1" x14ac:dyDescent="0.25">
      <c r="B12" s="188" t="s">
        <v>815</v>
      </c>
      <c r="D12" s="205">
        <v>0.5</v>
      </c>
      <c r="E12" s="191" t="s">
        <v>816</v>
      </c>
    </row>
    <row r="13" spans="1:34" ht="18" customHeight="1" x14ac:dyDescent="0.25">
      <c r="B13" s="192" t="s">
        <v>817</v>
      </c>
      <c r="C13" s="193"/>
      <c r="D13" s="205">
        <v>0.35</v>
      </c>
      <c r="E13" s="33" t="s">
        <v>818</v>
      </c>
      <c r="F13" s="193"/>
      <c r="G13" s="193"/>
      <c r="H13" s="193"/>
    </row>
    <row r="14" spans="1:34" ht="16.5" customHeight="1" x14ac:dyDescent="0.25">
      <c r="B14" s="3"/>
      <c r="D14" s="206"/>
      <c r="E14" s="3"/>
      <c r="I14" s="207" t="s">
        <v>819</v>
      </c>
      <c r="J14" s="207" t="s">
        <v>820</v>
      </c>
      <c r="L14" s="207" t="s">
        <v>821</v>
      </c>
      <c r="M14" s="207" t="s">
        <v>822</v>
      </c>
      <c r="N14" s="207" t="s">
        <v>823</v>
      </c>
      <c r="O14" s="207" t="s">
        <v>824</v>
      </c>
      <c r="P14" s="207" t="s">
        <v>825</v>
      </c>
      <c r="Q14" s="207" t="s">
        <v>826</v>
      </c>
      <c r="R14" s="207" t="s">
        <v>827</v>
      </c>
      <c r="W14" s="207" t="s">
        <v>828</v>
      </c>
      <c r="AE14" s="208" t="s">
        <v>829</v>
      </c>
      <c r="AF14" s="209" t="s">
        <v>830</v>
      </c>
      <c r="AG14" s="209" t="s">
        <v>831</v>
      </c>
      <c r="AH14" s="209" t="s">
        <v>832</v>
      </c>
    </row>
    <row r="15" spans="1:34" ht="43.5" customHeight="1" x14ac:dyDescent="0.25">
      <c r="B15" s="210" t="s">
        <v>127</v>
      </c>
      <c r="C15" s="211">
        <f>$D$12</f>
        <v>0.5</v>
      </c>
      <c r="D15" s="211">
        <v>0.25</v>
      </c>
      <c r="E15" s="212">
        <f t="shared" ref="E15:E24" si="0">$D$6*C15*D15</f>
        <v>187500000</v>
      </c>
      <c r="F15" s="213" t="str">
        <f t="shared" ref="F15:F24" si="1">"GROSS:  $"&amp;TEXT($D$6/1000000,"#,##0")&amp;"M  x  "&amp;TEXT(C15,"0.0%")&amp;"  x  "&amp;TEXT(D15,"0.0%")&amp;"  =  $"&amp;TEXT(E15/1000000,"#,##0.0")&amp;"M"&amp;CHAR(10)&amp;"ADJUSTED:  x "&amp;TEXT(N15,"0.00")&amp;" capture  x "&amp;TEXT(L15,"0.000")&amp;" reach  x "&amp;TEXT(M15,"0.000")&amp;" maturity  =  $"&amp;TEXT(O15/1000000,"#,##0.0")&amp;"M"</f>
        <v>GROSS:  $1,500M  x  50.0%  x  25.0%  =  $187.5M
ADJUSTED:  x 0.80 capture  x 0.725 reach  x 0.600 maturity  =  $21.9M</v>
      </c>
      <c r="G15" s="214" t="s">
        <v>833</v>
      </c>
      <c r="H15" s="215"/>
      <c r="I15" s="216">
        <f>'2_Capability_Assessment'!$C$46</f>
        <v>5.9882352941176471</v>
      </c>
      <c r="J15" s="216">
        <f>'2_Capability_Assessment'!$D$46</f>
        <v>9.5</v>
      </c>
      <c r="K15" s="215"/>
      <c r="L15" s="217">
        <f>MAX(0.15,1-EXP(-$D$8*'2_Capability_Assessment'!$C$70/10))</f>
        <v>0.72535895437430553</v>
      </c>
      <c r="M15" s="217">
        <f t="shared" ref="M15:M24" si="2">IFERROR(I15/J15,0)*$D$11</f>
        <v>0.6003243402624211</v>
      </c>
      <c r="N15" s="216">
        <v>0.8</v>
      </c>
      <c r="O15" s="218">
        <f t="shared" ref="O15:O24" si="3">E15*N15*L15*M15*$D$7*$D$10</f>
        <v>21893199.131100915</v>
      </c>
      <c r="P15" s="219">
        <v>1</v>
      </c>
      <c r="Q15" s="220">
        <f t="shared" ref="Q15:Q24" si="4">O15*P15</f>
        <v>21893199.131100915</v>
      </c>
      <c r="R15" s="220">
        <f t="shared" ref="R15:R24" si="5">O15*(1-P15)</f>
        <v>0</v>
      </c>
      <c r="S15" s="215"/>
      <c r="T15" s="215"/>
      <c r="U15" s="215"/>
      <c r="V15" s="221">
        <v>1</v>
      </c>
      <c r="W15" s="220">
        <f t="shared" ref="W15:W24" si="6">R15*V15</f>
        <v>0</v>
      </c>
      <c r="X15" s="220">
        <f t="shared" ref="X15:X24" si="7">R15*(1-V15)</f>
        <v>0</v>
      </c>
      <c r="Y15" s="215"/>
      <c r="Z15" s="222">
        <f>'7_Value_Timing'!$C$25</f>
        <v>0.95977740514283016</v>
      </c>
      <c r="AA15" s="222">
        <f t="shared" ref="AA15:AA24" si="8">IFERROR(Z15,"")</f>
        <v>0.95977740514283016</v>
      </c>
      <c r="AB15" s="220">
        <f>O15*AA15*'5_Implementation_Feasibility'!$E$13</f>
        <v>19168731.531013358</v>
      </c>
      <c r="AC15" s="215"/>
      <c r="AD15" s="215"/>
      <c r="AE15" s="214" t="s">
        <v>543</v>
      </c>
      <c r="AF15" s="223" t="s">
        <v>834</v>
      </c>
      <c r="AG15" s="224" t="s">
        <v>835</v>
      </c>
      <c r="AH15" s="225" t="s">
        <v>836</v>
      </c>
    </row>
    <row r="16" spans="1:34" ht="43.5" customHeight="1" x14ac:dyDescent="0.25">
      <c r="B16" s="38" t="s">
        <v>158</v>
      </c>
      <c r="C16" s="226">
        <f>(1-$D$12)+$D$12*$D$13</f>
        <v>0.67500000000000004</v>
      </c>
      <c r="D16" s="227">
        <v>0.1</v>
      </c>
      <c r="E16" s="228">
        <f t="shared" si="0"/>
        <v>101250000.00000001</v>
      </c>
      <c r="F16" s="58" t="str">
        <f t="shared" si="1"/>
        <v>GROSS:  $1,500M  x  67.5%  x  10.0%  =  $101.3M
ADJUSTED:  x 0.50 capture  x 0.725 reach  x 0.574 maturity  =  $7.1M</v>
      </c>
      <c r="G16" s="229" t="s">
        <v>837</v>
      </c>
      <c r="H16" s="9"/>
      <c r="I16" s="116">
        <f>'2_Capability_Assessment'!$C$47</f>
        <v>5.7000000000000011</v>
      </c>
      <c r="J16" s="116">
        <f>'2_Capability_Assessment'!$D$47</f>
        <v>9.4500000000000011</v>
      </c>
      <c r="K16" s="9"/>
      <c r="L16" s="124">
        <f>MAX(0.15,1-EXP(-$D$8*'2_Capability_Assessment'!$C$70/10))</f>
        <v>0.72535895437430553</v>
      </c>
      <c r="M16" s="124">
        <f t="shared" si="2"/>
        <v>0.57445200302343191</v>
      </c>
      <c r="N16" s="116">
        <v>0.5</v>
      </c>
      <c r="O16" s="230">
        <f t="shared" si="3"/>
        <v>7070510.9669291871</v>
      </c>
      <c r="P16" s="100">
        <v>0.55000000000000004</v>
      </c>
      <c r="Q16" s="228">
        <f t="shared" si="4"/>
        <v>3888781.0318110534</v>
      </c>
      <c r="R16" s="228">
        <f t="shared" si="5"/>
        <v>3181729.9351181337</v>
      </c>
      <c r="S16" s="9"/>
      <c r="T16" s="9"/>
      <c r="U16" s="9"/>
      <c r="V16" s="109">
        <v>1</v>
      </c>
      <c r="W16" s="228">
        <f t="shared" si="6"/>
        <v>3181729.9351181337</v>
      </c>
      <c r="X16" s="228">
        <f t="shared" si="7"/>
        <v>0</v>
      </c>
      <c r="Y16" s="9"/>
      <c r="Z16" s="110">
        <f>'7_Value_Timing'!$C$25</f>
        <v>0.95977740514283016</v>
      </c>
      <c r="AA16" s="110">
        <f t="shared" si="8"/>
        <v>0.95977740514283016</v>
      </c>
      <c r="AB16" s="228">
        <f>O16*AA16*'5_Implementation_Feasibility'!$E$13</f>
        <v>6190631.4239665847</v>
      </c>
      <c r="AC16" s="9"/>
      <c r="AD16" s="9"/>
      <c r="AE16" s="58" t="s">
        <v>838</v>
      </c>
      <c r="AF16" s="223" t="s">
        <v>839</v>
      </c>
      <c r="AG16" s="224" t="s">
        <v>835</v>
      </c>
      <c r="AH16" s="225" t="s">
        <v>836</v>
      </c>
    </row>
    <row r="17" spans="2:34" ht="43.5" customHeight="1" x14ac:dyDescent="0.25">
      <c r="B17" s="76" t="s">
        <v>189</v>
      </c>
      <c r="C17" s="231">
        <v>0.184</v>
      </c>
      <c r="D17" s="231">
        <v>0.15</v>
      </c>
      <c r="E17" s="232">
        <f t="shared" si="0"/>
        <v>41400000</v>
      </c>
      <c r="F17" s="77" t="str">
        <f t="shared" si="1"/>
        <v>GROSS:  $1,500M  x  18.4%  x  15.0%  =  $41.4M
ADJUSTED:  x 0.70 capture  x 0.725 reach  x 0.555 maturity  =  $3.9M</v>
      </c>
      <c r="G17" s="233" t="s">
        <v>840</v>
      </c>
      <c r="H17" s="215"/>
      <c r="I17" s="144">
        <f>'2_Capability_Assessment'!$C$48</f>
        <v>5.5555555555555562</v>
      </c>
      <c r="J17" s="144">
        <f>'2_Capability_Assessment'!$D$48</f>
        <v>9.5250000000000004</v>
      </c>
      <c r="K17" s="215"/>
      <c r="L17" s="234">
        <f>MAX(0.15,1-EXP(-$D$8*'2_Capability_Assessment'!$C$70/10))</f>
        <v>0.72535895437430553</v>
      </c>
      <c r="M17" s="234">
        <f t="shared" si="2"/>
        <v>0.55548611979058193</v>
      </c>
      <c r="N17" s="144">
        <v>0.7</v>
      </c>
      <c r="O17" s="235">
        <f t="shared" si="3"/>
        <v>3913844.8759241463</v>
      </c>
      <c r="P17" s="236">
        <v>0.4</v>
      </c>
      <c r="Q17" s="232">
        <f t="shared" si="4"/>
        <v>1565537.9503696586</v>
      </c>
      <c r="R17" s="232">
        <f t="shared" si="5"/>
        <v>2348306.9255544879</v>
      </c>
      <c r="S17" s="215"/>
      <c r="T17" s="215"/>
      <c r="U17" s="215"/>
      <c r="V17" s="237">
        <v>1</v>
      </c>
      <c r="W17" s="232">
        <f t="shared" si="6"/>
        <v>2348306.9255544879</v>
      </c>
      <c r="X17" s="232">
        <f t="shared" si="7"/>
        <v>0</v>
      </c>
      <c r="Y17" s="215"/>
      <c r="Z17" s="238">
        <f>'7_Value_Timing'!$C$25</f>
        <v>0.95977740514283016</v>
      </c>
      <c r="AA17" s="238">
        <f t="shared" si="8"/>
        <v>0.95977740514283016</v>
      </c>
      <c r="AB17" s="232">
        <f>O17*AA17*'5_Implementation_Feasibility'!$E$13</f>
        <v>3426792.0933513036</v>
      </c>
      <c r="AC17" s="215"/>
      <c r="AD17" s="215"/>
      <c r="AE17" s="77" t="s">
        <v>841</v>
      </c>
      <c r="AF17" s="223" t="s">
        <v>842</v>
      </c>
      <c r="AG17" s="225" t="s">
        <v>843</v>
      </c>
      <c r="AH17" s="225" t="s">
        <v>844</v>
      </c>
    </row>
    <row r="18" spans="2:34" ht="43.5" customHeight="1" x14ac:dyDescent="0.25">
      <c r="B18" s="38" t="s">
        <v>220</v>
      </c>
      <c r="C18" s="227">
        <v>1</v>
      </c>
      <c r="D18" s="227">
        <v>1.9E-2</v>
      </c>
      <c r="E18" s="228">
        <f t="shared" si="0"/>
        <v>28500000</v>
      </c>
      <c r="F18" s="58" t="str">
        <f t="shared" si="1"/>
        <v>GROSS:  $1,500M  x  100.0%  x  1.9%  =  $28.5M
ADJUSTED:  x 0.60 capture  x 0.725 reach  x 0.625 maturity  =  $2.6M</v>
      </c>
      <c r="G18" s="229" t="s">
        <v>845</v>
      </c>
      <c r="H18" s="9"/>
      <c r="I18" s="116">
        <f>'2_Capability_Assessment'!$C$49</f>
        <v>6.0352941176470587</v>
      </c>
      <c r="J18" s="116">
        <f>'2_Capability_Assessment'!$D$49</f>
        <v>9.1999999999999993</v>
      </c>
      <c r="K18" s="9"/>
      <c r="L18" s="124">
        <f>MAX(0.15,1-EXP(-$D$8*'2_Capability_Assessment'!$C$70/10))</f>
        <v>0.72535895437430553</v>
      </c>
      <c r="M18" s="124">
        <f t="shared" si="2"/>
        <v>0.62477164778955085</v>
      </c>
      <c r="N18" s="116">
        <v>0.6</v>
      </c>
      <c r="O18" s="230">
        <f t="shared" si="3"/>
        <v>2597463.4150631917</v>
      </c>
      <c r="P18" s="100">
        <v>0.6</v>
      </c>
      <c r="Q18" s="228">
        <f t="shared" si="4"/>
        <v>1558478.049037915</v>
      </c>
      <c r="R18" s="228">
        <f t="shared" si="5"/>
        <v>1038985.3660252767</v>
      </c>
      <c r="S18" s="9"/>
      <c r="T18" s="9"/>
      <c r="U18" s="9"/>
      <c r="V18" s="109">
        <v>1</v>
      </c>
      <c r="W18" s="228">
        <f t="shared" si="6"/>
        <v>1038985.3660252767</v>
      </c>
      <c r="X18" s="228">
        <f t="shared" si="7"/>
        <v>0</v>
      </c>
      <c r="Y18" s="9"/>
      <c r="Z18" s="110">
        <f>'7_Value_Timing'!$C$25</f>
        <v>0.95977740514283016</v>
      </c>
      <c r="AA18" s="110">
        <f t="shared" si="8"/>
        <v>0.95977740514283016</v>
      </c>
      <c r="AB18" s="228">
        <f>O18*AA18*'5_Implementation_Feasibility'!$E$13</f>
        <v>2274225.8254183112</v>
      </c>
      <c r="AC18" s="9"/>
      <c r="AD18" s="9"/>
      <c r="AE18" s="58" t="s">
        <v>536</v>
      </c>
      <c r="AF18" s="223" t="s">
        <v>846</v>
      </c>
      <c r="AG18" s="225" t="s">
        <v>843</v>
      </c>
      <c r="AH18" s="225" t="s">
        <v>836</v>
      </c>
    </row>
    <row r="19" spans="2:34" ht="43.5" customHeight="1" x14ac:dyDescent="0.25">
      <c r="B19" s="76" t="s">
        <v>251</v>
      </c>
      <c r="C19" s="231">
        <v>0.3</v>
      </c>
      <c r="D19" s="231">
        <v>0.02</v>
      </c>
      <c r="E19" s="232">
        <f t="shared" si="0"/>
        <v>9000000</v>
      </c>
      <c r="F19" s="77" t="str">
        <f t="shared" si="1"/>
        <v>GROSS:  $1,500M  x  30.0%  x  2.0%  =  $9.0M
ADJUSTED:  x 0.45 capture  x 0.725 reach  x 0.539 maturity  =  $0.5M</v>
      </c>
      <c r="G19" s="233" t="s">
        <v>847</v>
      </c>
      <c r="H19" s="215"/>
      <c r="I19" s="144">
        <f>'2_Capability_Assessment'!$C$50</f>
        <v>5.2769230769230759</v>
      </c>
      <c r="J19" s="144">
        <f>'2_Capability_Assessment'!$D$50</f>
        <v>9.3249999999999993</v>
      </c>
      <c r="K19" s="215"/>
      <c r="L19" s="234">
        <f>MAX(0.15,1-EXP(-$D$8*'2_Capability_Assessment'!$C$70/10))</f>
        <v>0.72535895437430553</v>
      </c>
      <c r="M19" s="234">
        <f t="shared" si="2"/>
        <v>0.53894273733415843</v>
      </c>
      <c r="N19" s="144">
        <v>0.45</v>
      </c>
      <c r="O19" s="235">
        <f t="shared" si="3"/>
        <v>530676.26396109106</v>
      </c>
      <c r="P19" s="236">
        <v>1</v>
      </c>
      <c r="Q19" s="232">
        <f t="shared" si="4"/>
        <v>530676.26396109106</v>
      </c>
      <c r="R19" s="232">
        <f t="shared" si="5"/>
        <v>0</v>
      </c>
      <c r="S19" s="215"/>
      <c r="T19" s="215"/>
      <c r="U19" s="215"/>
      <c r="V19" s="237">
        <v>1</v>
      </c>
      <c r="W19" s="232">
        <f t="shared" si="6"/>
        <v>0</v>
      </c>
      <c r="X19" s="232">
        <f t="shared" si="7"/>
        <v>0</v>
      </c>
      <c r="Y19" s="215"/>
      <c r="Z19" s="238">
        <f>'7_Value_Timing'!$C$25</f>
        <v>0.95977740514283016</v>
      </c>
      <c r="AA19" s="238">
        <f t="shared" si="8"/>
        <v>0.95977740514283016</v>
      </c>
      <c r="AB19" s="232">
        <f>O19*AA19*'5_Implementation_Feasibility'!$E$13</f>
        <v>464637.02142555756</v>
      </c>
      <c r="AC19" s="215"/>
      <c r="AD19" s="215"/>
      <c r="AE19" s="77" t="s">
        <v>631</v>
      </c>
      <c r="AF19" s="223" t="s">
        <v>848</v>
      </c>
      <c r="AG19" s="239" t="s">
        <v>849</v>
      </c>
      <c r="AH19" s="225" t="s">
        <v>836</v>
      </c>
    </row>
    <row r="20" spans="2:34" ht="43.5" customHeight="1" x14ac:dyDescent="0.25">
      <c r="B20" s="38" t="s">
        <v>282</v>
      </c>
      <c r="C20" s="227">
        <v>0.17599999999999999</v>
      </c>
      <c r="D20" s="227">
        <v>0.26</v>
      </c>
      <c r="E20" s="228">
        <f t="shared" si="0"/>
        <v>68640000</v>
      </c>
      <c r="F20" s="58" t="str">
        <f t="shared" si="1"/>
        <v>GROSS:  $1,500M  x  17.6%  x  26.0%  =  $68.6M
ADJUSTED:  x 0.85 capture  x 0.725 reach  x 0.725 maturity  =  $10.3M</v>
      </c>
      <c r="G20" s="229" t="s">
        <v>850</v>
      </c>
      <c r="H20" s="9"/>
      <c r="I20" s="116">
        <f>'2_Capability_Assessment'!$C$51</f>
        <v>7.1529411764705895</v>
      </c>
      <c r="J20" s="116">
        <f>'2_Capability_Assessment'!$D$51</f>
        <v>9.4000000000000021</v>
      </c>
      <c r="K20" s="9"/>
      <c r="L20" s="124">
        <f>MAX(0.15,1-EXP(-$D$8*'2_Capability_Assessment'!$C$70/10))</f>
        <v>0.72535895437430553</v>
      </c>
      <c r="M20" s="124">
        <f t="shared" si="2"/>
        <v>0.72471541808212669</v>
      </c>
      <c r="N20" s="116">
        <v>0.85</v>
      </c>
      <c r="O20" s="230">
        <f t="shared" si="3"/>
        <v>10280061.607610807</v>
      </c>
      <c r="P20" s="100">
        <v>0</v>
      </c>
      <c r="Q20" s="228">
        <f t="shared" si="4"/>
        <v>0</v>
      </c>
      <c r="R20" s="228">
        <f t="shared" si="5"/>
        <v>10280061.607610807</v>
      </c>
      <c r="S20" s="9"/>
      <c r="T20" s="9"/>
      <c r="U20" s="9"/>
      <c r="V20" s="109">
        <v>1</v>
      </c>
      <c r="W20" s="228">
        <f t="shared" si="6"/>
        <v>10280061.607610807</v>
      </c>
      <c r="X20" s="228">
        <f t="shared" si="7"/>
        <v>0</v>
      </c>
      <c r="Y20" s="9"/>
      <c r="Z20" s="110">
        <f>'7_Value_Timing'!$C$25</f>
        <v>0.95977740514283016</v>
      </c>
      <c r="AA20" s="110">
        <f t="shared" si="8"/>
        <v>0.95977740514283016</v>
      </c>
      <c r="AB20" s="228">
        <f>O20*AA20*'5_Implementation_Feasibility'!$E$13</f>
        <v>9000774.1627232917</v>
      </c>
      <c r="AC20" s="9"/>
      <c r="AD20" s="9"/>
      <c r="AE20" s="58" t="s">
        <v>851</v>
      </c>
      <c r="AF20" s="223" t="s">
        <v>852</v>
      </c>
      <c r="AG20" s="225" t="s">
        <v>843</v>
      </c>
      <c r="AH20" s="225" t="s">
        <v>853</v>
      </c>
    </row>
    <row r="21" spans="2:34" ht="43.5" customHeight="1" x14ac:dyDescent="0.25">
      <c r="B21" s="76" t="s">
        <v>313</v>
      </c>
      <c r="C21" s="231">
        <v>2.4E-2</v>
      </c>
      <c r="D21" s="231">
        <v>0.3</v>
      </c>
      <c r="E21" s="232">
        <f t="shared" si="0"/>
        <v>10800000</v>
      </c>
      <c r="F21" s="77" t="str">
        <f t="shared" si="1"/>
        <v>GROSS:  $1,500M  x  2.4%  x  30.0%  =  $10.8M
ADJUSTED:  x 0.65 capture  x 0.725 reach  x 0.622 maturity  =  $1.1M</v>
      </c>
      <c r="G21" s="233" t="s">
        <v>854</v>
      </c>
      <c r="H21" s="215"/>
      <c r="I21" s="144">
        <f>'2_Capability_Assessment'!$C$52</f>
        <v>6.0714285714285712</v>
      </c>
      <c r="J21" s="144">
        <f>'2_Capability_Assessment'!$D$52</f>
        <v>9.3000000000000007</v>
      </c>
      <c r="K21" s="215"/>
      <c r="L21" s="234">
        <f>MAX(0.15,1-EXP(-$D$8*'2_Capability_Assessment'!$C$70/10))</f>
        <v>0.72535895437430553</v>
      </c>
      <c r="M21" s="234">
        <f t="shared" si="2"/>
        <v>0.62175407797527626</v>
      </c>
      <c r="N21" s="144">
        <v>0.65</v>
      </c>
      <c r="O21" s="235">
        <f t="shared" si="3"/>
        <v>1061176.8581944646</v>
      </c>
      <c r="P21" s="236">
        <v>0.2</v>
      </c>
      <c r="Q21" s="232">
        <f t="shared" si="4"/>
        <v>212235.37163889292</v>
      </c>
      <c r="R21" s="232">
        <f t="shared" si="5"/>
        <v>848941.48655557167</v>
      </c>
      <c r="S21" s="215"/>
      <c r="T21" s="215"/>
      <c r="U21" s="215"/>
      <c r="V21" s="237">
        <v>1</v>
      </c>
      <c r="W21" s="232">
        <f t="shared" si="6"/>
        <v>848941.48655557167</v>
      </c>
      <c r="X21" s="232">
        <f t="shared" si="7"/>
        <v>0</v>
      </c>
      <c r="Y21" s="215"/>
      <c r="Z21" s="238">
        <f>'7_Value_Timing'!$C$25</f>
        <v>0.95977740514283016</v>
      </c>
      <c r="AA21" s="238">
        <f t="shared" si="8"/>
        <v>0.95977740514283016</v>
      </c>
      <c r="AB21" s="232">
        <f>O21*AA21*'5_Implementation_Feasibility'!$E$13</f>
        <v>929120.23408938141</v>
      </c>
      <c r="AC21" s="215"/>
      <c r="AD21" s="215"/>
      <c r="AE21" s="77" t="s">
        <v>678</v>
      </c>
      <c r="AF21" s="223" t="s">
        <v>855</v>
      </c>
      <c r="AG21" s="240" t="s">
        <v>856</v>
      </c>
      <c r="AH21" s="225" t="s">
        <v>857</v>
      </c>
    </row>
    <row r="22" spans="2:34" ht="43.5" customHeight="1" x14ac:dyDescent="0.25">
      <c r="B22" s="38" t="s">
        <v>344</v>
      </c>
      <c r="C22" s="227">
        <v>7.1999999999999995E-2</v>
      </c>
      <c r="D22" s="227">
        <v>0.15</v>
      </c>
      <c r="E22" s="228">
        <f t="shared" si="0"/>
        <v>16199999.999999996</v>
      </c>
      <c r="F22" s="58" t="str">
        <f t="shared" si="1"/>
        <v>GROSS:  $1,500M  x  7.2%  x  15.0%  =  $16.2M
ADJUSTED:  x 0.20 capture  x 0.725 reach  x 0.357 maturity  =  $0.3M</v>
      </c>
      <c r="G22" s="229" t="s">
        <v>858</v>
      </c>
      <c r="H22" s="9"/>
      <c r="I22" s="116">
        <f>'2_Capability_Assessment'!$C$53</f>
        <v>3.3866666666666667</v>
      </c>
      <c r="J22" s="116">
        <f>'2_Capability_Assessment'!$D$53</f>
        <v>9.0250000000000004</v>
      </c>
      <c r="K22" s="9"/>
      <c r="L22" s="124">
        <f>MAX(0.15,1-EXP(-$D$8*'2_Capability_Assessment'!$C$70/10))</f>
        <v>0.72535895437430553</v>
      </c>
      <c r="M22" s="124">
        <f t="shared" si="2"/>
        <v>0.35738468979466226</v>
      </c>
      <c r="N22" s="116">
        <v>0.2</v>
      </c>
      <c r="O22" s="230">
        <f t="shared" si="3"/>
        <v>281522.40872971766</v>
      </c>
      <c r="P22" s="100">
        <v>0</v>
      </c>
      <c r="Q22" s="228">
        <f t="shared" si="4"/>
        <v>0</v>
      </c>
      <c r="R22" s="228">
        <f t="shared" si="5"/>
        <v>281522.40872971766</v>
      </c>
      <c r="S22" s="9"/>
      <c r="T22" s="9"/>
      <c r="U22" s="9"/>
      <c r="V22" s="109">
        <v>1</v>
      </c>
      <c r="W22" s="228">
        <f t="shared" si="6"/>
        <v>281522.40872971766</v>
      </c>
      <c r="X22" s="228">
        <f t="shared" si="7"/>
        <v>0</v>
      </c>
      <c r="Y22" s="9"/>
      <c r="Z22" s="110">
        <f>'7_Value_Timing'!$C$25</f>
        <v>0.95977740514283016</v>
      </c>
      <c r="AA22" s="110">
        <f t="shared" si="8"/>
        <v>0.95977740514283016</v>
      </c>
      <c r="AB22" s="228">
        <f>O22*AA22*'5_Implementation_Feasibility'!$E$13</f>
        <v>246488.75847651443</v>
      </c>
      <c r="AC22" s="9"/>
      <c r="AD22" s="9"/>
      <c r="AE22" s="58" t="s">
        <v>550</v>
      </c>
      <c r="AF22" s="223" t="s">
        <v>859</v>
      </c>
      <c r="AG22" s="239" t="s">
        <v>860</v>
      </c>
      <c r="AH22" s="239" t="s">
        <v>861</v>
      </c>
    </row>
    <row r="23" spans="2:34" ht="43.5" customHeight="1" x14ac:dyDescent="0.25">
      <c r="B23" s="76" t="s">
        <v>375</v>
      </c>
      <c r="C23" s="231">
        <v>9.6000000000000002E-2</v>
      </c>
      <c r="D23" s="231">
        <v>0.15</v>
      </c>
      <c r="E23" s="232">
        <f t="shared" si="0"/>
        <v>21600000</v>
      </c>
      <c r="F23" s="77" t="str">
        <f t="shared" si="1"/>
        <v>GROSS:  $1,500M  x  9.6%  x  15.0%  =  $21.6M
ADJUSTED:  x 0.70 capture  x 0.725 reach  x 0.544 maturity  =  $2.0M</v>
      </c>
      <c r="G23" s="233" t="s">
        <v>862</v>
      </c>
      <c r="H23" s="215"/>
      <c r="I23" s="144">
        <f>'2_Capability_Assessment'!$C$54</f>
        <v>5.2687499999999998</v>
      </c>
      <c r="J23" s="144">
        <f>'2_Capability_Assessment'!$D$54</f>
        <v>9.2249999999999996</v>
      </c>
      <c r="K23" s="215"/>
      <c r="L23" s="234">
        <f>MAX(0.15,1-EXP(-$D$8*'2_Capability_Assessment'!$C$70/10))</f>
        <v>0.72535895437430553</v>
      </c>
      <c r="M23" s="234">
        <f t="shared" si="2"/>
        <v>0.54394115369725149</v>
      </c>
      <c r="N23" s="144">
        <v>0.7</v>
      </c>
      <c r="O23" s="235">
        <f t="shared" si="3"/>
        <v>1999565.9153509198</v>
      </c>
      <c r="P23" s="236">
        <v>0</v>
      </c>
      <c r="Q23" s="232">
        <f t="shared" si="4"/>
        <v>0</v>
      </c>
      <c r="R23" s="232">
        <f t="shared" si="5"/>
        <v>1999565.9153509198</v>
      </c>
      <c r="S23" s="215"/>
      <c r="T23" s="215"/>
      <c r="U23" s="215"/>
      <c r="V23" s="237">
        <v>1</v>
      </c>
      <c r="W23" s="232">
        <f t="shared" si="6"/>
        <v>1999565.9153509198</v>
      </c>
      <c r="X23" s="232">
        <f t="shared" si="7"/>
        <v>0</v>
      </c>
      <c r="Y23" s="215"/>
      <c r="Z23" s="238">
        <f>'7_Value_Timing'!$C$25</f>
        <v>0.95977740514283016</v>
      </c>
      <c r="AA23" s="238">
        <f t="shared" si="8"/>
        <v>0.95977740514283016</v>
      </c>
      <c r="AB23" s="232">
        <f>O23*AA23*'5_Implementation_Feasibility'!$E$13</f>
        <v>1750732.818004536</v>
      </c>
      <c r="AC23" s="215"/>
      <c r="AD23" s="215"/>
      <c r="AE23" s="77" t="s">
        <v>863</v>
      </c>
      <c r="AF23" s="223" t="s">
        <v>864</v>
      </c>
      <c r="AG23" s="225" t="s">
        <v>843</v>
      </c>
      <c r="AH23" s="225" t="s">
        <v>865</v>
      </c>
    </row>
    <row r="24" spans="2:34" ht="43.5" customHeight="1" x14ac:dyDescent="0.25">
      <c r="B24" s="38" t="s">
        <v>405</v>
      </c>
      <c r="C24" s="227">
        <v>0</v>
      </c>
      <c r="D24" s="227">
        <v>0</v>
      </c>
      <c r="E24" s="228">
        <f t="shared" si="0"/>
        <v>0</v>
      </c>
      <c r="F24" s="58" t="str">
        <f t="shared" si="1"/>
        <v>GROSS:  $1,500M  x  0.0%  x  0.0%  =  $0.0M
ADJUSTED:  x 0.00 capture  x 0.725 reach  x 0.502 maturity  =  $0.0M</v>
      </c>
      <c r="G24" s="229" t="s">
        <v>866</v>
      </c>
      <c r="H24" s="9"/>
      <c r="I24" s="116">
        <f>'2_Capability_Assessment'!$C$55</f>
        <v>4.8357142857142854</v>
      </c>
      <c r="J24" s="116">
        <f>'2_Capability_Assessment'!$D$55</f>
        <v>9.1750000000000007</v>
      </c>
      <c r="K24" s="9"/>
      <c r="L24" s="124">
        <f>MAX(0.15,1-EXP(-$D$8*'2_Capability_Assessment'!$C$70/10))</f>
        <v>0.72535895437430553</v>
      </c>
      <c r="M24" s="124">
        <f t="shared" si="2"/>
        <v>0.50195555061261576</v>
      </c>
      <c r="N24" s="116">
        <v>0</v>
      </c>
      <c r="O24" s="230">
        <f t="shared" si="3"/>
        <v>0</v>
      </c>
      <c r="P24" s="100">
        <v>0</v>
      </c>
      <c r="Q24" s="228">
        <f t="shared" si="4"/>
        <v>0</v>
      </c>
      <c r="R24" s="228">
        <f t="shared" si="5"/>
        <v>0</v>
      </c>
      <c r="S24" s="9"/>
      <c r="T24" s="9"/>
      <c r="U24" s="9"/>
      <c r="V24" s="109">
        <v>1</v>
      </c>
      <c r="W24" s="228">
        <f t="shared" si="6"/>
        <v>0</v>
      </c>
      <c r="X24" s="228">
        <f t="shared" si="7"/>
        <v>0</v>
      </c>
      <c r="Y24" s="9"/>
      <c r="Z24" s="110">
        <f>'7_Value_Timing'!$C$25</f>
        <v>0.95977740514283016</v>
      </c>
      <c r="AA24" s="110">
        <f t="shared" si="8"/>
        <v>0.95977740514283016</v>
      </c>
      <c r="AB24" s="228">
        <f>O24*AA24*'5_Implementation_Feasibility'!$E$13</f>
        <v>0</v>
      </c>
      <c r="AC24" s="9"/>
      <c r="AD24" s="9"/>
      <c r="AE24" s="58" t="s">
        <v>867</v>
      </c>
      <c r="AF24" s="223" t="s">
        <v>868</v>
      </c>
      <c r="AG24" s="241" t="s">
        <v>869</v>
      </c>
      <c r="AH24" s="225" t="s">
        <v>836</v>
      </c>
    </row>
    <row r="25" spans="2:34" ht="15" customHeight="1" x14ac:dyDescent="0.25">
      <c r="B25" s="133" t="s">
        <v>870</v>
      </c>
      <c r="E25" s="242">
        <f>SUM(E15:E24)</f>
        <v>484890000</v>
      </c>
      <c r="O25" s="242">
        <f>SUM(O15:O24)</f>
        <v>49628021.44286444</v>
      </c>
      <c r="Q25" s="242">
        <f>SUM(Q15:Q24)</f>
        <v>29648907.79791953</v>
      </c>
      <c r="R25" s="242">
        <f>SUM(R15:R24)</f>
        <v>19979113.644944917</v>
      </c>
      <c r="W25" s="242">
        <f>SUM(W15:W24)</f>
        <v>19979113.644944917</v>
      </c>
      <c r="X25" s="242">
        <f>SUM(X15:X24)</f>
        <v>0</v>
      </c>
    </row>
    <row r="26" spans="2:34" ht="18" customHeight="1" x14ac:dyDescent="0.25"/>
    <row r="27" spans="2:34" ht="15" customHeight="1" x14ac:dyDescent="0.25">
      <c r="B27" s="64" t="s">
        <v>871</v>
      </c>
    </row>
    <row r="28" spans="2:34" ht="15.75" customHeight="1" x14ac:dyDescent="0.25">
      <c r="B28" s="56" t="s">
        <v>790</v>
      </c>
      <c r="E28" s="243">
        <f>E25</f>
        <v>484890000</v>
      </c>
    </row>
    <row r="29" spans="2:34" ht="15.75" customHeight="1" x14ac:dyDescent="0.25">
      <c r="B29" s="56" t="s">
        <v>872</v>
      </c>
      <c r="E29" s="243">
        <f>O25</f>
        <v>49628021.44286444</v>
      </c>
    </row>
    <row r="30" spans="2:34" ht="15.75" customHeight="1" x14ac:dyDescent="0.25">
      <c r="B30" s="56" t="s">
        <v>873</v>
      </c>
      <c r="E30" s="244">
        <f>IFERROR(O25/E25,0)</f>
        <v>0.10234903059016362</v>
      </c>
    </row>
    <row r="31" spans="2:34" ht="15.75" customHeight="1" x14ac:dyDescent="0.25">
      <c r="B31" s="56" t="s">
        <v>874</v>
      </c>
      <c r="E31" s="243">
        <f>E25-O25</f>
        <v>435261978.55713558</v>
      </c>
    </row>
    <row r="32" spans="2:34" ht="15.75" customHeight="1" x14ac:dyDescent="0.25">
      <c r="B32" s="56" t="s">
        <v>875</v>
      </c>
      <c r="E32" s="243">
        <f>Q25</f>
        <v>29648907.79791953</v>
      </c>
    </row>
    <row r="33" spans="2:5" ht="15.75" customHeight="1" x14ac:dyDescent="0.25">
      <c r="B33" s="56" t="s">
        <v>876</v>
      </c>
      <c r="E33" s="243">
        <f>R25</f>
        <v>19979113.644944917</v>
      </c>
    </row>
    <row r="34" spans="2:5" ht="15.75" customHeight="1" x14ac:dyDescent="0.25">
      <c r="B34" s="56" t="s">
        <v>877</v>
      </c>
      <c r="E34" s="243">
        <f>W25</f>
        <v>19979113.644944917</v>
      </c>
    </row>
    <row r="35" spans="2:5" ht="15.75" customHeight="1" x14ac:dyDescent="0.25">
      <c r="B35" s="56" t="s">
        <v>878</v>
      </c>
      <c r="E35" s="245" t="str">
        <f>INDEX($B$15:$B$24,MATCH(MAX($O$15:$O$24),$O$15:$O$24,0))</f>
        <v>Product and services differentiation</v>
      </c>
    </row>
    <row r="36" spans="2:5" ht="15.75" customHeight="1" x14ac:dyDescent="0.25">
      <c r="B36" s="56" t="s">
        <v>879</v>
      </c>
      <c r="E36" s="246">
        <f>SUMPRODUCT($N$15:$N$24,$L$15:$L$24,$M$15:$M$24)</f>
        <v>2.354585510956448</v>
      </c>
    </row>
    <row r="37" spans="2:5" ht="15.75" customHeight="1" x14ac:dyDescent="0.25">
      <c r="B37" s="56" t="s">
        <v>880</v>
      </c>
      <c r="E37" s="243">
        <f>O25*'5_Implementation_Feasibility'!$E$13</f>
        <v>45273136.912409887</v>
      </c>
    </row>
    <row r="38" spans="2:5" ht="15.75" customHeight="1" x14ac:dyDescent="0.25">
      <c r="B38" s="56" t="s">
        <v>881</v>
      </c>
      <c r="E38" s="243">
        <f>SUM(AB15:AB24)</f>
        <v>43452133.868468836</v>
      </c>
    </row>
    <row r="39" spans="2:5" ht="15.75" customHeight="1" x14ac:dyDescent="0.25">
      <c r="B39" s="56" t="s">
        <v>882</v>
      </c>
      <c r="E39" s="243">
        <f>O25*'5_Implementation_Feasibility'!$E$13-$E$38</f>
        <v>1821003.0439410508</v>
      </c>
    </row>
    <row r="40" spans="2:5" ht="15.75" customHeight="1" x14ac:dyDescent="0.25">
      <c r="B40" s="56" t="s">
        <v>883</v>
      </c>
      <c r="E40" s="243">
        <f>SUMPRODUCT($Q$15:$Q$24,$AA$15:$AA$24)*'5_Implementation_Feasibility'!$E$13</f>
        <v>25959292.215029925</v>
      </c>
    </row>
    <row r="41" spans="2:5" ht="15.75" customHeight="1" x14ac:dyDescent="0.25">
      <c r="B41" s="56" t="s">
        <v>884</v>
      </c>
      <c r="E41" s="243">
        <f>SUMPRODUCT($W$15:$W$24,$AA$15:$AA$24)*'5_Implementation_Feasibility'!$E$13</f>
        <v>17492841.653438918</v>
      </c>
    </row>
    <row r="42" spans="2:5" ht="18" customHeight="1" x14ac:dyDescent="0.25"/>
    <row r="43" spans="2:5" ht="18" customHeight="1" x14ac:dyDescent="0.25"/>
    <row r="44" spans="2:5" ht="15" customHeight="1" x14ac:dyDescent="0.25">
      <c r="B44" s="64" t="s">
        <v>885</v>
      </c>
    </row>
    <row r="45" spans="2:5" ht="15" customHeight="1" x14ac:dyDescent="0.25">
      <c r="B45" s="3" t="s">
        <v>886</v>
      </c>
    </row>
    <row r="46" spans="2:5" ht="15" customHeight="1" x14ac:dyDescent="0.25">
      <c r="B46" s="3" t="s">
        <v>887</v>
      </c>
    </row>
    <row r="47" spans="2:5" ht="15" customHeight="1" x14ac:dyDescent="0.25">
      <c r="B47" s="3" t="s">
        <v>888</v>
      </c>
    </row>
    <row r="48" spans="2:5" ht="15" customHeight="1" x14ac:dyDescent="0.25">
      <c r="B48" s="3" t="s">
        <v>889</v>
      </c>
    </row>
    <row r="49" spans="2:9" ht="15" customHeight="1" x14ac:dyDescent="0.25">
      <c r="B49" s="3" t="s">
        <v>890</v>
      </c>
    </row>
    <row r="50" spans="2:9" ht="15" customHeight="1" x14ac:dyDescent="0.25">
      <c r="B50" s="3" t="s">
        <v>891</v>
      </c>
    </row>
    <row r="51" spans="2:9" ht="15" customHeight="1" x14ac:dyDescent="0.25">
      <c r="B51" s="3" t="s">
        <v>892</v>
      </c>
    </row>
    <row r="52" spans="2:9" ht="15" customHeight="1" x14ac:dyDescent="0.25">
      <c r="B52" s="3" t="s">
        <v>893</v>
      </c>
    </row>
    <row r="53" spans="2:9" ht="18" customHeight="1" x14ac:dyDescent="0.25"/>
    <row r="54" spans="2:9" ht="15" customHeight="1" x14ac:dyDescent="0.25">
      <c r="B54" s="64" t="s">
        <v>894</v>
      </c>
    </row>
    <row r="55" spans="2:9" ht="24" customHeight="1" x14ac:dyDescent="0.25">
      <c r="B55" s="3" t="s">
        <v>895</v>
      </c>
    </row>
    <row r="56" spans="2:9" ht="24" customHeight="1" x14ac:dyDescent="0.25">
      <c r="B56" s="127" t="s">
        <v>896</v>
      </c>
      <c r="C56" s="127" t="s">
        <v>897</v>
      </c>
      <c r="D56" s="128" t="s">
        <v>898</v>
      </c>
      <c r="E56" s="128" t="s">
        <v>899</v>
      </c>
      <c r="F56" s="127" t="s">
        <v>900</v>
      </c>
      <c r="G56" s="127" t="s">
        <v>901</v>
      </c>
      <c r="H56" s="128" t="s">
        <v>509</v>
      </c>
      <c r="I56" s="127" t="s">
        <v>829</v>
      </c>
    </row>
    <row r="57" spans="2:9" ht="21.75" customHeight="1" x14ac:dyDescent="0.25">
      <c r="B57" s="76" t="s">
        <v>127</v>
      </c>
      <c r="C57" s="77" t="s">
        <v>515</v>
      </c>
      <c r="D57" s="247" t="s">
        <v>103</v>
      </c>
      <c r="E57" s="231">
        <f>IFERROR('2_Capability_Assessment'!$M$6/SUMIF('2_Capability_Assessment'!$B$6:$B$41,$B$15,'2_Capability_Assessment'!$M$6:$M$41),0)</f>
        <v>0.23529411764705885</v>
      </c>
      <c r="F57" s="232">
        <f>$E$15*$E57</f>
        <v>44117647.058823533</v>
      </c>
      <c r="G57" s="235">
        <f>$O$15*$E57</f>
        <v>5151340.9720237451</v>
      </c>
      <c r="H57" s="247" t="str">
        <f>'2_Capability_Assessment'!$J$6</f>
        <v>L3</v>
      </c>
      <c r="I57" s="77" t="s">
        <v>521</v>
      </c>
    </row>
    <row r="58" spans="2:9" ht="21.75" customHeight="1" x14ac:dyDescent="0.25">
      <c r="B58" s="9"/>
      <c r="C58" s="58" t="s">
        <v>523</v>
      </c>
      <c r="D58" s="106" t="s">
        <v>98</v>
      </c>
      <c r="E58" s="227">
        <f>IFERROR('2_Capability_Assessment'!$M$7/SUMIF('2_Capability_Assessment'!$B$6:$B$41,$B$15,'2_Capability_Assessment'!$M$6:$M$41),0)</f>
        <v>0.17647058823529413</v>
      </c>
      <c r="F58" s="228">
        <f>$E$15*$E58</f>
        <v>33088235.294117648</v>
      </c>
      <c r="G58" s="230">
        <f>$O$15*$E58</f>
        <v>3863505.729017809</v>
      </c>
      <c r="H58" s="106" t="str">
        <f>'2_Capability_Assessment'!$J$7</f>
        <v>L4</v>
      </c>
      <c r="I58" s="58" t="s">
        <v>529</v>
      </c>
    </row>
    <row r="59" spans="2:9" ht="21.75" customHeight="1" x14ac:dyDescent="0.25">
      <c r="B59" s="215"/>
      <c r="C59" s="77" t="s">
        <v>530</v>
      </c>
      <c r="D59" s="247" t="s">
        <v>88</v>
      </c>
      <c r="E59" s="231">
        <f>IFERROR('2_Capability_Assessment'!$M$8/SUMIF('2_Capability_Assessment'!$B$6:$B$41,$B$15,'2_Capability_Assessment'!$M$6:$M$41),0)</f>
        <v>0.35294117647058826</v>
      </c>
      <c r="F59" s="232">
        <f>$E$15*$E59</f>
        <v>66176470.588235296</v>
      </c>
      <c r="G59" s="235">
        <f>$O$15*$E59</f>
        <v>7727011.4580356181</v>
      </c>
      <c r="H59" s="247" t="str">
        <f>'2_Capability_Assessment'!$J$8</f>
        <v>L3</v>
      </c>
      <c r="I59" s="77" t="s">
        <v>536</v>
      </c>
    </row>
    <row r="60" spans="2:9" ht="21.75" customHeight="1" x14ac:dyDescent="0.25">
      <c r="B60" s="9"/>
      <c r="C60" s="58" t="s">
        <v>537</v>
      </c>
      <c r="D60" s="106" t="s">
        <v>108</v>
      </c>
      <c r="E60" s="227">
        <f>IFERROR('2_Capability_Assessment'!$M$9/SUMIF('2_Capability_Assessment'!$B$6:$B$41,$B$15,'2_Capability_Assessment'!$M$6:$M$41),0)</f>
        <v>0.17647058823529413</v>
      </c>
      <c r="F60" s="228">
        <f>$E$15*$E60</f>
        <v>33088235.294117648</v>
      </c>
      <c r="G60" s="230">
        <f>$O$15*$E60</f>
        <v>3863505.729017809</v>
      </c>
      <c r="H60" s="106" t="str">
        <f>'2_Capability_Assessment'!$J$9</f>
        <v>L3</v>
      </c>
      <c r="I60" s="58" t="s">
        <v>543</v>
      </c>
    </row>
    <row r="61" spans="2:9" ht="21.75" customHeight="1" x14ac:dyDescent="0.25">
      <c r="B61" s="215"/>
      <c r="C61" s="77" t="s">
        <v>544</v>
      </c>
      <c r="D61" s="247" t="s">
        <v>113</v>
      </c>
      <c r="E61" s="231">
        <f>IFERROR('2_Capability_Assessment'!$M$10/SUMIF('2_Capability_Assessment'!$B$6:$B$41,$B$15,'2_Capability_Assessment'!$M$6:$M$41),0)</f>
        <v>5.8823529411764712E-2</v>
      </c>
      <c r="F61" s="232">
        <f>$E$15*$E61</f>
        <v>11029411.764705883</v>
      </c>
      <c r="G61" s="235">
        <f>$O$15*$E61</f>
        <v>1287835.2430059363</v>
      </c>
      <c r="H61" s="247" t="str">
        <f>'2_Capability_Assessment'!$J$10</f>
        <v>L2</v>
      </c>
      <c r="I61" s="77" t="s">
        <v>550</v>
      </c>
    </row>
    <row r="62" spans="2:9" ht="21.75" customHeight="1" x14ac:dyDescent="0.25">
      <c r="B62" s="38" t="s">
        <v>158</v>
      </c>
      <c r="C62" s="58" t="s">
        <v>551</v>
      </c>
      <c r="D62" s="106" t="s">
        <v>88</v>
      </c>
      <c r="E62" s="227">
        <f>IFERROR('2_Capability_Assessment'!$M$11/SUMIF('2_Capability_Assessment'!$B$6:$B$41,$B$16,'2_Capability_Assessment'!$M$6:$M$41),0)</f>
        <v>0.5</v>
      </c>
      <c r="F62" s="228">
        <f>$E$16*$E62</f>
        <v>50625000.000000007</v>
      </c>
      <c r="G62" s="230">
        <f>$O$16*$E62</f>
        <v>3535255.4834645935</v>
      </c>
      <c r="H62" s="106" t="str">
        <f>'2_Capability_Assessment'!$J$11</f>
        <v>L3</v>
      </c>
      <c r="I62" s="58" t="s">
        <v>555</v>
      </c>
    </row>
    <row r="63" spans="2:9" ht="21.75" customHeight="1" x14ac:dyDescent="0.25">
      <c r="B63" s="215"/>
      <c r="C63" s="77" t="s">
        <v>556</v>
      </c>
      <c r="D63" s="247" t="s">
        <v>93</v>
      </c>
      <c r="E63" s="231">
        <f>IFERROR('2_Capability_Assessment'!$M$12/SUMIF('2_Capability_Assessment'!$B$6:$B$41,$B$16,'2_Capability_Assessment'!$M$6:$M$41),0)</f>
        <v>0.5</v>
      </c>
      <c r="F63" s="232">
        <f>$E$16*$E63</f>
        <v>50625000.000000007</v>
      </c>
      <c r="G63" s="235">
        <f>$O$16*$E63</f>
        <v>3535255.4834645935</v>
      </c>
      <c r="H63" s="247" t="str">
        <f>'2_Capability_Assessment'!$J$12</f>
        <v>L3</v>
      </c>
      <c r="I63" s="77" t="s">
        <v>561</v>
      </c>
    </row>
    <row r="64" spans="2:9" ht="21.75" customHeight="1" x14ac:dyDescent="0.25">
      <c r="B64" s="248" t="s">
        <v>902</v>
      </c>
      <c r="C64" s="58" t="s">
        <v>562</v>
      </c>
      <c r="D64" s="106" t="s">
        <v>88</v>
      </c>
      <c r="E64" s="227">
        <f>IFERROR('2_Capability_Assessment'!$M$13/SUMIF('2_Capability_Assessment'!$B$6:$B$41,$B$17,'2_Capability_Assessment'!$M$6:$M$41),0)</f>
        <v>0.16666666666666669</v>
      </c>
      <c r="F64" s="228">
        <f>$E$17*$E64</f>
        <v>6900000.0000000009</v>
      </c>
      <c r="G64" s="230">
        <f>$O$17*$E64</f>
        <v>652307.47932069108</v>
      </c>
      <c r="H64" s="106" t="str">
        <f>'2_Capability_Assessment'!$J$13</f>
        <v>L4</v>
      </c>
      <c r="I64" s="58" t="s">
        <v>568</v>
      </c>
    </row>
    <row r="65" spans="2:9" ht="21.75" customHeight="1" x14ac:dyDescent="0.25">
      <c r="B65" s="249" t="s">
        <v>903</v>
      </c>
      <c r="C65" s="77" t="s">
        <v>569</v>
      </c>
      <c r="D65" s="247" t="s">
        <v>103</v>
      </c>
      <c r="E65" s="231">
        <f>IFERROR('2_Capability_Assessment'!$M$14/SUMIF('2_Capability_Assessment'!$B$6:$B$41,$B$17,'2_Capability_Assessment'!$M$6:$M$41),0)</f>
        <v>0.11111111111111113</v>
      </c>
      <c r="F65" s="232">
        <f>$E$17*$E65</f>
        <v>4600000.0000000009</v>
      </c>
      <c r="G65" s="235">
        <f>$O$17*$E65</f>
        <v>434871.65288046078</v>
      </c>
      <c r="H65" s="247" t="str">
        <f>'2_Capability_Assessment'!$J$14</f>
        <v>L3</v>
      </c>
      <c r="I65" s="77" t="s">
        <v>575</v>
      </c>
    </row>
    <row r="66" spans="2:9" ht="27.75" customHeight="1" x14ac:dyDescent="0.25">
      <c r="B66" s="250" t="s">
        <v>904</v>
      </c>
      <c r="C66" s="58" t="s">
        <v>576</v>
      </c>
      <c r="D66" s="106" t="s">
        <v>98</v>
      </c>
      <c r="E66" s="227">
        <f>IFERROR('2_Capability_Assessment'!$M$15/SUMIF('2_Capability_Assessment'!$B$6:$B$41,$B$17,'2_Capability_Assessment'!$M$6:$M$41),0)</f>
        <v>0.27777777777777779</v>
      </c>
      <c r="F66" s="228">
        <f>$E$17*$E66</f>
        <v>11500000</v>
      </c>
      <c r="G66" s="230">
        <f>$O$17*$E66</f>
        <v>1087179.1322011517</v>
      </c>
      <c r="H66" s="106" t="str">
        <f>'2_Capability_Assessment'!$J$15</f>
        <v>L2</v>
      </c>
      <c r="I66" s="58" t="s">
        <v>582</v>
      </c>
    </row>
    <row r="67" spans="2:9" ht="21.75" customHeight="1" x14ac:dyDescent="0.25">
      <c r="B67" s="249" t="s">
        <v>905</v>
      </c>
      <c r="C67" s="77" t="s">
        <v>583</v>
      </c>
      <c r="D67" s="247" t="s">
        <v>113</v>
      </c>
      <c r="E67" s="231">
        <f>IFERROR('2_Capability_Assessment'!$M$16/SUMIF('2_Capability_Assessment'!$B$6:$B$41,$B$17,'2_Capability_Assessment'!$M$6:$M$41),0)</f>
        <v>0.11111111111111113</v>
      </c>
      <c r="F67" s="232">
        <f>$E$17*$E67</f>
        <v>4600000.0000000009</v>
      </c>
      <c r="G67" s="235">
        <f>$O$17*$E67</f>
        <v>434871.65288046078</v>
      </c>
      <c r="H67" s="247" t="str">
        <f>'2_Capability_Assessment'!$J$16</f>
        <v>L3</v>
      </c>
      <c r="I67" s="77" t="s">
        <v>589</v>
      </c>
    </row>
    <row r="68" spans="2:9" ht="27.75" customHeight="1" x14ac:dyDescent="0.25">
      <c r="B68" s="250" t="s">
        <v>906</v>
      </c>
      <c r="C68" s="58" t="s">
        <v>590</v>
      </c>
      <c r="D68" s="106" t="s">
        <v>108</v>
      </c>
      <c r="E68" s="227">
        <f>IFERROR('2_Capability_Assessment'!$M$17/SUMIF('2_Capability_Assessment'!$B$6:$B$41,$B$17,'2_Capability_Assessment'!$M$6:$M$41),0)</f>
        <v>0.33333333333333337</v>
      </c>
      <c r="F68" s="228">
        <f>$E$17*$E68</f>
        <v>13800000.000000002</v>
      </c>
      <c r="G68" s="230">
        <f>$O$17*$E68</f>
        <v>1304614.9586413822</v>
      </c>
      <c r="H68" s="106" t="str">
        <f>'2_Capability_Assessment'!$J$17</f>
        <v>L3</v>
      </c>
      <c r="I68" s="58" t="s">
        <v>596</v>
      </c>
    </row>
    <row r="69" spans="2:9" ht="21.75" customHeight="1" x14ac:dyDescent="0.25">
      <c r="B69" s="251" t="s">
        <v>907</v>
      </c>
      <c r="C69" s="77" t="s">
        <v>597</v>
      </c>
      <c r="D69" s="247" t="s">
        <v>103</v>
      </c>
      <c r="E69" s="231">
        <f>IFERROR('2_Capability_Assessment'!$M$18/SUMIF('2_Capability_Assessment'!$B$6:$B$41,$B$18,'2_Capability_Assessment'!$M$6:$M$41),0)</f>
        <v>0.23529411764705885</v>
      </c>
      <c r="F69" s="232">
        <f>$E$18*$E69</f>
        <v>6705882.3529411769</v>
      </c>
      <c r="G69" s="235">
        <f>$O$18*$E69</f>
        <v>611167.86236780987</v>
      </c>
      <c r="H69" s="247" t="str">
        <f>'2_Capability_Assessment'!$J$18</f>
        <v>L3</v>
      </c>
      <c r="I69" s="77" t="s">
        <v>603</v>
      </c>
    </row>
    <row r="70" spans="2:9" ht="27.75" customHeight="1" x14ac:dyDescent="0.25">
      <c r="B70" s="250" t="s">
        <v>908</v>
      </c>
      <c r="C70" s="58" t="s">
        <v>604</v>
      </c>
      <c r="D70" s="106" t="s">
        <v>98</v>
      </c>
      <c r="E70" s="227">
        <f>IFERROR('2_Capability_Assessment'!$M$19/SUMIF('2_Capability_Assessment'!$B$6:$B$41,$B$18,'2_Capability_Assessment'!$M$6:$M$41),0)</f>
        <v>0.29411764705882354</v>
      </c>
      <c r="F70" s="228">
        <f>$E$18*$E70</f>
        <v>8382352.9411764713</v>
      </c>
      <c r="G70" s="230">
        <f>$O$18*$E70</f>
        <v>763959.8279597623</v>
      </c>
      <c r="H70" s="106" t="str">
        <f>'2_Capability_Assessment'!$J$19</f>
        <v>L3</v>
      </c>
      <c r="I70" s="58" t="s">
        <v>610</v>
      </c>
    </row>
    <row r="71" spans="2:9" ht="21.75" customHeight="1" x14ac:dyDescent="0.25">
      <c r="B71" s="249" t="s">
        <v>909</v>
      </c>
      <c r="C71" s="77" t="s">
        <v>611</v>
      </c>
      <c r="D71" s="247" t="s">
        <v>113</v>
      </c>
      <c r="E71" s="231">
        <f>IFERROR('2_Capability_Assessment'!$M$20/SUMIF('2_Capability_Assessment'!$B$6:$B$41,$B$18,'2_Capability_Assessment'!$M$6:$M$41),0)</f>
        <v>0.17647058823529413</v>
      </c>
      <c r="F71" s="232">
        <f>$E$18*$E71</f>
        <v>5029411.7647058824</v>
      </c>
      <c r="G71" s="235">
        <f>$O$18*$E71</f>
        <v>458375.89677585737</v>
      </c>
      <c r="H71" s="247" t="str">
        <f>'2_Capability_Assessment'!$J$20</f>
        <v>L5</v>
      </c>
      <c r="I71" s="77" t="s">
        <v>617</v>
      </c>
    </row>
    <row r="72" spans="2:9" ht="27.75" customHeight="1" x14ac:dyDescent="0.25">
      <c r="B72" s="250" t="s">
        <v>910</v>
      </c>
      <c r="C72" s="58" t="s">
        <v>618</v>
      </c>
      <c r="D72" s="106" t="s">
        <v>93</v>
      </c>
      <c r="E72" s="227">
        <f>IFERROR('2_Capability_Assessment'!$M$21/SUMIF('2_Capability_Assessment'!$B$6:$B$41,$B$18,'2_Capability_Assessment'!$M$6:$M$41),0)</f>
        <v>0.29411764705882354</v>
      </c>
      <c r="F72" s="228">
        <f>$E$18*$E72</f>
        <v>8382352.9411764713</v>
      </c>
      <c r="G72" s="230">
        <f>$O$18*$E72</f>
        <v>763959.8279597623</v>
      </c>
      <c r="H72" s="106" t="str">
        <f>'2_Capability_Assessment'!$J$21</f>
        <v>L3</v>
      </c>
      <c r="I72" s="58" t="s">
        <v>624</v>
      </c>
    </row>
    <row r="73" spans="2:9" ht="21.75" customHeight="1" x14ac:dyDescent="0.25">
      <c r="B73" s="251" t="s">
        <v>911</v>
      </c>
      <c r="C73" s="77" t="s">
        <v>625</v>
      </c>
      <c r="D73" s="247" t="s">
        <v>108</v>
      </c>
      <c r="E73" s="231">
        <f>IFERROR('2_Capability_Assessment'!$M$22/SUMIF('2_Capability_Assessment'!$B$6:$B$41,$B$19,'2_Capability_Assessment'!$M$6:$M$41),0)</f>
        <v>0.30769230769230771</v>
      </c>
      <c r="F73" s="232">
        <f>$E$19*$E73</f>
        <v>2769230.7692307695</v>
      </c>
      <c r="G73" s="235">
        <f>$O$19*$E73</f>
        <v>163285.00429572034</v>
      </c>
      <c r="H73" s="247" t="str">
        <f>'2_Capability_Assessment'!$J$22</f>
        <v>L3</v>
      </c>
      <c r="I73" s="77" t="s">
        <v>631</v>
      </c>
    </row>
    <row r="74" spans="2:9" ht="27.75" customHeight="1" x14ac:dyDescent="0.25">
      <c r="B74" s="250" t="s">
        <v>912</v>
      </c>
      <c r="C74" s="58" t="s">
        <v>632</v>
      </c>
      <c r="D74" s="106" t="s">
        <v>103</v>
      </c>
      <c r="E74" s="227">
        <f>IFERROR('2_Capability_Assessment'!$M$23/SUMIF('2_Capability_Assessment'!$B$6:$B$41,$B$19,'2_Capability_Assessment'!$M$6:$M$41),0)</f>
        <v>0.53846153846153844</v>
      </c>
      <c r="F74" s="228">
        <f>$E$19*$E74</f>
        <v>4846153.846153846</v>
      </c>
      <c r="G74" s="230">
        <f>$O$19*$E74</f>
        <v>285748.75751751056</v>
      </c>
      <c r="H74" s="106" t="str">
        <f>'2_Capability_Assessment'!$J$23</f>
        <v>L3</v>
      </c>
      <c r="I74" s="58" t="s">
        <v>638</v>
      </c>
    </row>
    <row r="75" spans="2:9" ht="21.75" customHeight="1" x14ac:dyDescent="0.25">
      <c r="B75" s="249" t="s">
        <v>913</v>
      </c>
      <c r="C75" s="77" t="s">
        <v>639</v>
      </c>
      <c r="D75" s="247" t="s">
        <v>113</v>
      </c>
      <c r="E75" s="231">
        <f>IFERROR('2_Capability_Assessment'!$M$24/SUMIF('2_Capability_Assessment'!$B$6:$B$41,$B$19,'2_Capability_Assessment'!$M$6:$M$41),0)</f>
        <v>0.15384615384615385</v>
      </c>
      <c r="F75" s="232">
        <f>$E$19*$E75</f>
        <v>1384615.3846153847</v>
      </c>
      <c r="G75" s="235">
        <f>$O$19*$E75</f>
        <v>81642.50214786017</v>
      </c>
      <c r="H75" s="247" t="str">
        <f>'2_Capability_Assessment'!$J$24</f>
        <v>L2</v>
      </c>
      <c r="I75" s="77" t="s">
        <v>645</v>
      </c>
    </row>
    <row r="76" spans="2:9" ht="27.75" customHeight="1" x14ac:dyDescent="0.25">
      <c r="B76" s="252" t="s">
        <v>914</v>
      </c>
      <c r="C76" s="58" t="s">
        <v>646</v>
      </c>
      <c r="D76" s="106" t="s">
        <v>88</v>
      </c>
      <c r="E76" s="227">
        <f>IFERROR('2_Capability_Assessment'!$M$25/SUMIF('2_Capability_Assessment'!$B$6:$B$41,$B$20,'2_Capability_Assessment'!$M$6:$M$41),0)</f>
        <v>0.23529411764705888</v>
      </c>
      <c r="F76" s="228">
        <f>$E$20*$E76</f>
        <v>16150588.23529412</v>
      </c>
      <c r="G76" s="230">
        <f>$O$20*$E76</f>
        <v>2418838.0253201905</v>
      </c>
      <c r="H76" s="106" t="str">
        <f>'2_Capability_Assessment'!$J$25</f>
        <v>L3</v>
      </c>
      <c r="I76" s="58" t="s">
        <v>652</v>
      </c>
    </row>
    <row r="77" spans="2:9" ht="21.75" customHeight="1" x14ac:dyDescent="0.25">
      <c r="B77" s="249" t="s">
        <v>915</v>
      </c>
      <c r="C77" s="77" t="s">
        <v>653</v>
      </c>
      <c r="D77" s="247" t="s">
        <v>108</v>
      </c>
      <c r="E77" s="231">
        <f>IFERROR('2_Capability_Assessment'!$M$26/SUMIF('2_Capability_Assessment'!$B$6:$B$41,$B$20,'2_Capability_Assessment'!$M$6:$M$41),0)</f>
        <v>0.17647058823529413</v>
      </c>
      <c r="F77" s="232">
        <f>$E$20*$E77</f>
        <v>12112941.176470589</v>
      </c>
      <c r="G77" s="235">
        <f>$O$20*$E77</f>
        <v>1814128.5189901425</v>
      </c>
      <c r="H77" s="247" t="str">
        <f>'2_Capability_Assessment'!$J$26</f>
        <v>L3</v>
      </c>
      <c r="I77" s="77" t="s">
        <v>659</v>
      </c>
    </row>
    <row r="78" spans="2:9" ht="27.75" customHeight="1" x14ac:dyDescent="0.25">
      <c r="B78" s="250" t="s">
        <v>916</v>
      </c>
      <c r="C78" s="58" t="s">
        <v>660</v>
      </c>
      <c r="D78" s="106" t="s">
        <v>98</v>
      </c>
      <c r="E78" s="227">
        <f>IFERROR('2_Capability_Assessment'!$M$27/SUMIF('2_Capability_Assessment'!$B$6:$B$41,$B$20,'2_Capability_Assessment'!$M$6:$M$41),0)</f>
        <v>0.35294117647058826</v>
      </c>
      <c r="F78" s="228">
        <f>$E$20*$E78</f>
        <v>24225882.352941178</v>
      </c>
      <c r="G78" s="230">
        <f>$O$20*$E78</f>
        <v>3628257.037980285</v>
      </c>
      <c r="H78" s="106" t="str">
        <f>'2_Capability_Assessment'!$J$27</f>
        <v>L4</v>
      </c>
      <c r="I78" s="58" t="s">
        <v>666</v>
      </c>
    </row>
    <row r="79" spans="2:9" ht="21.75" customHeight="1" x14ac:dyDescent="0.25">
      <c r="B79" s="215"/>
      <c r="C79" s="77" t="s">
        <v>667</v>
      </c>
      <c r="D79" s="247" t="s">
        <v>113</v>
      </c>
      <c r="E79" s="231">
        <f>IFERROR('2_Capability_Assessment'!$M$28/SUMIF('2_Capability_Assessment'!$B$6:$B$41,$B$20,'2_Capability_Assessment'!$M$6:$M$41),0)</f>
        <v>0.23529411764705888</v>
      </c>
      <c r="F79" s="232">
        <f>$E$20*$E79</f>
        <v>16150588.23529412</v>
      </c>
      <c r="G79" s="235">
        <f>$O$20*$E79</f>
        <v>2418838.0253201905</v>
      </c>
      <c r="H79" s="247" t="str">
        <f>'2_Capability_Assessment'!$J$28</f>
        <v>L5</v>
      </c>
      <c r="I79" s="77" t="s">
        <v>673</v>
      </c>
    </row>
    <row r="80" spans="2:9" ht="21.75" customHeight="1" x14ac:dyDescent="0.25">
      <c r="B80" s="38" t="s">
        <v>313</v>
      </c>
      <c r="C80" s="58" t="s">
        <v>674</v>
      </c>
      <c r="D80" s="106" t="s">
        <v>98</v>
      </c>
      <c r="E80" s="227">
        <f>IFERROR('2_Capability_Assessment'!$M$29/SUMIF('2_Capability_Assessment'!$B$6:$B$41,$B$21,'2_Capability_Assessment'!$M$6:$M$41),0)</f>
        <v>0.49999999999999994</v>
      </c>
      <c r="F80" s="228">
        <f>$E$21*$E80</f>
        <v>5399999.9999999991</v>
      </c>
      <c r="G80" s="230">
        <f>$O$21*$E80</f>
        <v>530588.42909723218</v>
      </c>
      <c r="H80" s="106" t="str">
        <f>'2_Capability_Assessment'!$J$29</f>
        <v>L4</v>
      </c>
      <c r="I80" s="58" t="s">
        <v>678</v>
      </c>
    </row>
    <row r="81" spans="2:9" ht="21.75" customHeight="1" x14ac:dyDescent="0.25">
      <c r="B81" s="215"/>
      <c r="C81" s="77" t="s">
        <v>679</v>
      </c>
      <c r="D81" s="247" t="s">
        <v>93</v>
      </c>
      <c r="E81" s="231">
        <f>IFERROR('2_Capability_Assessment'!$M$30/SUMIF('2_Capability_Assessment'!$B$6:$B$41,$B$21,'2_Capability_Assessment'!$M$6:$M$41),0)</f>
        <v>0.2857142857142857</v>
      </c>
      <c r="F81" s="232">
        <f>$E$21*$E81</f>
        <v>3085714.2857142854</v>
      </c>
      <c r="G81" s="235">
        <f>$O$21*$E81</f>
        <v>303193.38805556129</v>
      </c>
      <c r="H81" s="247" t="str">
        <f>'2_Capability_Assessment'!$J$30</f>
        <v>L3</v>
      </c>
      <c r="I81" s="77" t="s">
        <v>685</v>
      </c>
    </row>
    <row r="82" spans="2:9" ht="21.75" customHeight="1" x14ac:dyDescent="0.25">
      <c r="B82" s="9"/>
      <c r="C82" s="58" t="s">
        <v>686</v>
      </c>
      <c r="D82" s="106" t="s">
        <v>113</v>
      </c>
      <c r="E82" s="227">
        <f>IFERROR('2_Capability_Assessment'!$M$31/SUMIF('2_Capability_Assessment'!$B$6:$B$41,$B$21,'2_Capability_Assessment'!$M$6:$M$41),0)</f>
        <v>0.21428571428571425</v>
      </c>
      <c r="F82" s="228">
        <f>$E$21*$E82</f>
        <v>2314285.7142857141</v>
      </c>
      <c r="G82" s="230">
        <f>$O$21*$E82</f>
        <v>227395.04104167095</v>
      </c>
      <c r="H82" s="106" t="str">
        <f>'2_Capability_Assessment'!$J$31</f>
        <v>L2</v>
      </c>
      <c r="I82" s="58" t="s">
        <v>692</v>
      </c>
    </row>
    <row r="83" spans="2:9" ht="21.75" customHeight="1" x14ac:dyDescent="0.25">
      <c r="B83" s="76" t="s">
        <v>344</v>
      </c>
      <c r="C83" s="77" t="s">
        <v>693</v>
      </c>
      <c r="D83" s="247" t="s">
        <v>113</v>
      </c>
      <c r="E83" s="231">
        <f>IFERROR('2_Capability_Assessment'!$M$32/SUMIF('2_Capability_Assessment'!$B$6:$B$41,$B$22,'2_Capability_Assessment'!$M$6:$M$41),0)</f>
        <v>0.66666666666666663</v>
      </c>
      <c r="F83" s="232">
        <f>$E$22*$E83</f>
        <v>10799999.999999996</v>
      </c>
      <c r="G83" s="235">
        <f>$O$22*$E83</f>
        <v>187681.60581981175</v>
      </c>
      <c r="H83" s="247" t="str">
        <f>'2_Capability_Assessment'!$J$32</f>
        <v>L2</v>
      </c>
      <c r="I83" s="77" t="s">
        <v>550</v>
      </c>
    </row>
    <row r="84" spans="2:9" ht="21.75" customHeight="1" x14ac:dyDescent="0.25">
      <c r="B84" s="9"/>
      <c r="C84" s="58" t="s">
        <v>699</v>
      </c>
      <c r="D84" s="106" t="s">
        <v>88</v>
      </c>
      <c r="E84" s="227">
        <f>IFERROR('2_Capability_Assessment'!$M$33/SUMIF('2_Capability_Assessment'!$B$6:$B$41,$B$22,'2_Capability_Assessment'!$M$6:$M$41),0)</f>
        <v>0.19999999999999998</v>
      </c>
      <c r="F84" s="228">
        <f>$E$22*$E84</f>
        <v>3239999.9999999991</v>
      </c>
      <c r="G84" s="230">
        <f>$O$22*$E84</f>
        <v>56304.481745943529</v>
      </c>
      <c r="H84" s="106" t="str">
        <f>'2_Capability_Assessment'!$J$33</f>
        <v>L1</v>
      </c>
      <c r="I84" s="58" t="s">
        <v>705</v>
      </c>
    </row>
    <row r="85" spans="2:9" ht="21.75" customHeight="1" x14ac:dyDescent="0.25">
      <c r="B85" s="215"/>
      <c r="C85" s="77" t="s">
        <v>706</v>
      </c>
      <c r="D85" s="247" t="s">
        <v>103</v>
      </c>
      <c r="E85" s="231">
        <f>IFERROR('2_Capability_Assessment'!$M$34/SUMIF('2_Capability_Assessment'!$B$6:$B$41,$B$22,'2_Capability_Assessment'!$M$6:$M$41),0)</f>
        <v>0.13333333333333333</v>
      </c>
      <c r="F85" s="232">
        <f>$E$22*$E85</f>
        <v>2159999.9999999995</v>
      </c>
      <c r="G85" s="235">
        <f>$O$22*$E85</f>
        <v>37536.321163962355</v>
      </c>
      <c r="H85" s="247" t="str">
        <f>'2_Capability_Assessment'!$J$34</f>
        <v>L3</v>
      </c>
      <c r="I85" s="77" t="s">
        <v>712</v>
      </c>
    </row>
    <row r="86" spans="2:9" ht="21.75" customHeight="1" x14ac:dyDescent="0.25">
      <c r="B86" s="38" t="s">
        <v>375</v>
      </c>
      <c r="C86" s="58" t="s">
        <v>713</v>
      </c>
      <c r="D86" s="106" t="s">
        <v>103</v>
      </c>
      <c r="E86" s="227">
        <f>IFERROR('2_Capability_Assessment'!$M$35/SUMIF('2_Capability_Assessment'!$B$6:$B$41,$B$23,'2_Capability_Assessment'!$M$6:$M$41),0)</f>
        <v>0.1875</v>
      </c>
      <c r="F86" s="228">
        <f>$E$23*$E86</f>
        <v>4050000</v>
      </c>
      <c r="G86" s="230">
        <f>$O$23*$E86</f>
        <v>374918.60912829748</v>
      </c>
      <c r="H86" s="106" t="str">
        <f>'2_Capability_Assessment'!$J$35</f>
        <v>L4</v>
      </c>
      <c r="I86" s="58" t="s">
        <v>719</v>
      </c>
    </row>
    <row r="87" spans="2:9" ht="21.75" customHeight="1" x14ac:dyDescent="0.25">
      <c r="B87" s="215"/>
      <c r="C87" s="77" t="s">
        <v>720</v>
      </c>
      <c r="D87" s="247" t="s">
        <v>98</v>
      </c>
      <c r="E87" s="231">
        <f>IFERROR('2_Capability_Assessment'!$M$36/SUMIF('2_Capability_Assessment'!$B$6:$B$41,$B$23,'2_Capability_Assessment'!$M$6:$M$41),0)</f>
        <v>0.375</v>
      </c>
      <c r="F87" s="232">
        <f>$E$23*$E87</f>
        <v>8100000</v>
      </c>
      <c r="G87" s="235">
        <f>$O$23*$E87</f>
        <v>749837.21825659496</v>
      </c>
      <c r="H87" s="247" t="str">
        <f>'2_Capability_Assessment'!$J$36</f>
        <v>L2</v>
      </c>
      <c r="I87" s="77" t="s">
        <v>726</v>
      </c>
    </row>
    <row r="88" spans="2:9" ht="21.75" customHeight="1" x14ac:dyDescent="0.25">
      <c r="B88" s="9"/>
      <c r="C88" s="58" t="s">
        <v>727</v>
      </c>
      <c r="D88" s="106" t="s">
        <v>113</v>
      </c>
      <c r="E88" s="227">
        <f>IFERROR('2_Capability_Assessment'!$M$37/SUMIF('2_Capability_Assessment'!$B$6:$B$41,$B$23,'2_Capability_Assessment'!$M$6:$M$41),0)</f>
        <v>0.3125</v>
      </c>
      <c r="F88" s="228">
        <f>$E$23*$E88</f>
        <v>6750000</v>
      </c>
      <c r="G88" s="230">
        <f>$O$23*$E88</f>
        <v>624864.34854716249</v>
      </c>
      <c r="H88" s="106" t="str">
        <f>'2_Capability_Assessment'!$J$37</f>
        <v>L3</v>
      </c>
      <c r="I88" s="58" t="s">
        <v>733</v>
      </c>
    </row>
    <row r="89" spans="2:9" ht="21.75" customHeight="1" x14ac:dyDescent="0.25">
      <c r="B89" s="215"/>
      <c r="C89" s="77" t="s">
        <v>734</v>
      </c>
      <c r="D89" s="247" t="s">
        <v>93</v>
      </c>
      <c r="E89" s="231">
        <f>IFERROR('2_Capability_Assessment'!$M$38/SUMIF('2_Capability_Assessment'!$B$6:$B$41,$B$23,'2_Capability_Assessment'!$M$6:$M$41),0)</f>
        <v>0.12500000000000003</v>
      </c>
      <c r="F89" s="232">
        <f>$E$23*$E89</f>
        <v>2700000.0000000005</v>
      </c>
      <c r="G89" s="235">
        <f>$O$23*$E89</f>
        <v>249945.73941886504</v>
      </c>
      <c r="H89" s="247" t="str">
        <f>'2_Capability_Assessment'!$J$38</f>
        <v>L4</v>
      </c>
      <c r="I89" s="77" t="s">
        <v>740</v>
      </c>
    </row>
    <row r="90" spans="2:9" ht="21.75" customHeight="1" x14ac:dyDescent="0.25">
      <c r="B90" s="38" t="s">
        <v>405</v>
      </c>
      <c r="C90" s="58" t="s">
        <v>741</v>
      </c>
      <c r="D90" s="106" t="s">
        <v>93</v>
      </c>
      <c r="E90" s="227">
        <f>IFERROR('2_Capability_Assessment'!$M$39/SUMIF('2_Capability_Assessment'!$B$6:$B$41,$B$24,'2_Capability_Assessment'!$M$6:$M$41),0)</f>
        <v>0.35714285714285715</v>
      </c>
      <c r="F90" s="228">
        <f>$E$24*$E90</f>
        <v>0</v>
      </c>
      <c r="G90" s="230">
        <f>$O$24*$E90</f>
        <v>0</v>
      </c>
      <c r="H90" s="106" t="str">
        <f>'2_Capability_Assessment'!$J$39</f>
        <v>L3</v>
      </c>
      <c r="I90" s="58" t="s">
        <v>745</v>
      </c>
    </row>
    <row r="91" spans="2:9" ht="21.75" customHeight="1" x14ac:dyDescent="0.25">
      <c r="B91" s="215"/>
      <c r="C91" s="77" t="s">
        <v>746</v>
      </c>
      <c r="D91" s="247" t="s">
        <v>98</v>
      </c>
      <c r="E91" s="231">
        <f>IFERROR('2_Capability_Assessment'!$M$40/SUMIF('2_Capability_Assessment'!$B$6:$B$41,$B$24,'2_Capability_Assessment'!$M$6:$M$41),0)</f>
        <v>0.28571428571428575</v>
      </c>
      <c r="F91" s="232">
        <f>$E$24*$E91</f>
        <v>0</v>
      </c>
      <c r="G91" s="235">
        <f>$O$24*$E91</f>
        <v>0</v>
      </c>
      <c r="H91" s="247" t="str">
        <f>'2_Capability_Assessment'!$J$40</f>
        <v>L2</v>
      </c>
      <c r="I91" s="77" t="s">
        <v>751</v>
      </c>
    </row>
    <row r="92" spans="2:9" ht="21.75" customHeight="1" x14ac:dyDescent="0.25">
      <c r="B92" s="9"/>
      <c r="C92" s="58" t="s">
        <v>752</v>
      </c>
      <c r="D92" s="106" t="s">
        <v>113</v>
      </c>
      <c r="E92" s="227">
        <f>IFERROR('2_Capability_Assessment'!$M$41/SUMIF('2_Capability_Assessment'!$B$6:$B$41,$B$24,'2_Capability_Assessment'!$M$6:$M$41),0)</f>
        <v>0.35714285714285715</v>
      </c>
      <c r="F92" s="228">
        <f>$E$24*$E92</f>
        <v>0</v>
      </c>
      <c r="G92" s="230">
        <f>$O$24*$E92</f>
        <v>0</v>
      </c>
      <c r="H92" s="106" t="str">
        <f>'2_Capability_Assessment'!$J$41</f>
        <v>L3</v>
      </c>
      <c r="I92" s="58" t="s">
        <v>758</v>
      </c>
    </row>
    <row r="93" spans="2:9" ht="15" customHeight="1" x14ac:dyDescent="0.25">
      <c r="B93" s="133" t="s">
        <v>870</v>
      </c>
      <c r="F93" s="242">
        <f>SUM(F57:F92)</f>
        <v>484890000</v>
      </c>
      <c r="G93" s="242">
        <f>SUM(G57:G92)</f>
        <v>49628021.44286444</v>
      </c>
    </row>
  </sheetData>
  <mergeCells count="1">
    <mergeCell ref="B1:D1"/>
  </mergeCells>
  <pageMargins left="0.75" right="0.75" top="1" bottom="1"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A2540"/>
    <pageSetUpPr fitToPage="1"/>
  </sheetPr>
  <dimension ref="A1:L42"/>
  <sheetViews>
    <sheetView showGridLines="0" zoomScale="90" zoomScaleNormal="90" workbookViewId="0">
      <pane xSplit="2" ySplit="10" topLeftCell="C11" activePane="bottomRight" state="frozen"/>
      <selection pane="topRight" activeCell="C1" sqref="C1"/>
      <selection pane="bottomLeft" activeCell="A11" sqref="A11"/>
      <selection pane="bottomRight"/>
    </sheetView>
  </sheetViews>
  <sheetFormatPr defaultColWidth="8.7109375" defaultRowHeight="15" x14ac:dyDescent="0.25"/>
  <cols>
    <col min="2" max="2" width="23.42578125" customWidth="1"/>
    <col min="3" max="3" width="20.140625" customWidth="1"/>
    <col min="4" max="10" width="11" customWidth="1"/>
    <col min="11" max="11" width="12" customWidth="1"/>
    <col min="12" max="12" width="9" customWidth="1"/>
  </cols>
  <sheetData>
    <row r="1" spans="1:8" ht="57" customHeight="1" x14ac:dyDescent="0.25"/>
    <row r="2" spans="1:8" ht="33.75" customHeight="1" x14ac:dyDescent="0.25">
      <c r="B2" s="507" t="s">
        <v>917</v>
      </c>
      <c r="C2" s="507"/>
    </row>
    <row r="3" spans="1:8" ht="36" customHeight="1" x14ac:dyDescent="0.25">
      <c r="B3" s="4" t="s">
        <v>918</v>
      </c>
    </row>
    <row r="4" spans="1:8" ht="18" customHeight="1" x14ac:dyDescent="0.25"/>
    <row r="5" spans="1:8" ht="24" customHeight="1" x14ac:dyDescent="0.25">
      <c r="A5" s="5"/>
      <c r="B5" s="1" t="s">
        <v>2</v>
      </c>
      <c r="C5" s="5"/>
      <c r="D5" s="5"/>
      <c r="E5" s="5"/>
      <c r="F5" s="5"/>
      <c r="G5" s="5"/>
      <c r="H5" s="5"/>
    </row>
    <row r="6" spans="1:8" ht="15" customHeight="1" x14ac:dyDescent="0.25">
      <c r="B6" s="3" t="s">
        <v>4</v>
      </c>
      <c r="C6" s="253">
        <v>1200000000</v>
      </c>
    </row>
    <row r="7" spans="1:8" ht="15" customHeight="1" x14ac:dyDescent="0.25">
      <c r="B7" s="3" t="s">
        <v>10</v>
      </c>
      <c r="C7" s="254">
        <f>'4b_Value_Pools_by_Capability'!$D$6</f>
        <v>1500000000</v>
      </c>
    </row>
    <row r="8" spans="1:8" ht="18" customHeight="1" x14ac:dyDescent="0.25"/>
    <row r="9" spans="1:8" ht="18" customHeight="1" x14ac:dyDescent="0.25"/>
    <row r="10" spans="1:8" ht="19.5" customHeight="1" x14ac:dyDescent="0.25">
      <c r="B10" s="127" t="s">
        <v>919</v>
      </c>
      <c r="C10" s="128" t="s">
        <v>920</v>
      </c>
      <c r="D10" s="128" t="s">
        <v>921</v>
      </c>
      <c r="E10" s="128" t="s">
        <v>922</v>
      </c>
      <c r="F10" s="207" t="s">
        <v>923</v>
      </c>
      <c r="G10" s="207" t="s">
        <v>924</v>
      </c>
      <c r="H10" s="127" t="s">
        <v>925</v>
      </c>
    </row>
    <row r="11" spans="1:8" ht="27.75" customHeight="1" x14ac:dyDescent="0.25">
      <c r="B11" s="255" t="s">
        <v>926</v>
      </c>
      <c r="C11" s="173">
        <v>1.01</v>
      </c>
      <c r="D11" s="256">
        <f>(SUMIF('4b_Value_Pools_by_Capability'!$B$15:$B$24,$B$33,'4b_Value_Pools_by_Capability'!$O$15:$O$24)*$C$33+SUMIF('4b_Value_Pools_by_Capability'!$B$15:$B$24,$B$34,'4b_Value_Pools_by_Capability'!$O$15:$O$24)*$C$34+SUMIF('4b_Value_Pools_by_Capability'!$B$15:$B$24,$B$35,'4b_Value_Pools_by_Capability'!$O$15:$O$24)*$C$35+SUMIF('4b_Value_Pools_by_Capability'!$B$15:$B$24,$B$36,'4b_Value_Pools_by_Capability'!$O$15:$O$24)*$C$36+SUMIF('4b_Value_Pools_by_Capability'!$B$15:$B$24,$B$37,'4b_Value_Pools_by_Capability'!$O$15:$O$24)*$C$37+SUMIF('4b_Value_Pools_by_Capability'!$B$15:$B$24,$B$38,'4b_Value_Pools_by_Capability'!$O$15:$O$24)*$C$38+SUMIF('4b_Value_Pools_by_Capability'!$B$15:$B$24,$B$39,'4b_Value_Pools_by_Capability'!$O$15:$O$24)*$C$39+SUMIF('4b_Value_Pools_by_Capability'!$B$15:$B$24,$B$40,'4b_Value_Pools_by_Capability'!$O$15:$O$24)*$C$40+SUMIF('4b_Value_Pools_by_Capability'!$B$15:$B$24,$B$41,'4b_Value_Pools_by_Capability'!$O$15:$O$24)*$C$41+SUMIF('4b_Value_Pools_by_Capability'!$B$15:$B$24,$B$42,'4b_Value_Pools_by_Capability'!$O$15:$O$24)*$C$42)*'5_Implementation_Feasibility'!$E$13*'7_Value_Timing'!$C$25/$C$6</f>
        <v>9.7270822121299661E-3</v>
      </c>
      <c r="E11" s="257">
        <f t="shared" ref="E11:E19" si="0">$C11+$D11</f>
        <v>1.01972708221213</v>
      </c>
      <c r="F11" s="258">
        <f>(SUMIF('4b_Value_Pools_by_Capability'!$B$15:$B$24,$B$33,'4b_Value_Pools_by_Capability'!$O$15:$O$24)*$C$33+SUMIF('4b_Value_Pools_by_Capability'!$B$15:$B$24,$B$34,'4b_Value_Pools_by_Capability'!$O$15:$O$24)*$C$34+SUMIF('4b_Value_Pools_by_Capability'!$B$15:$B$24,$B$35,'4b_Value_Pools_by_Capability'!$O$15:$O$24)*$C$35+SUMIF('4b_Value_Pools_by_Capability'!$B$15:$B$24,$B$36,'4b_Value_Pools_by_Capability'!$O$15:$O$24)*$C$36+SUMIF('4b_Value_Pools_by_Capability'!$B$15:$B$24,$B$37,'4b_Value_Pools_by_Capability'!$O$15:$O$24)*$C$37+SUMIF('4b_Value_Pools_by_Capability'!$B$15:$B$24,$B$38,'4b_Value_Pools_by_Capability'!$O$15:$O$24)*$C$38+SUMIF('4b_Value_Pools_by_Capability'!$B$15:$B$24,$B$39,'4b_Value_Pools_by_Capability'!$O$15:$O$24)*$C$39+SUMIF('4b_Value_Pools_by_Capability'!$B$15:$B$24,$B$40,'4b_Value_Pools_by_Capability'!$O$15:$O$24)*$C$40+SUMIF('4b_Value_Pools_by_Capability'!$B$15:$B$24,$B$41,'4b_Value_Pools_by_Capability'!$O$15:$O$24)*$C$41+SUMIF('4b_Value_Pools_by_Capability'!$B$15:$B$24,$B$42,'4b_Value_Pools_by_Capability'!$O$15:$O$24)*$C$42)*'5_Implementation_Feasibility'!$E$13*'7_Value_Timing'!$C$25</f>
        <v>11672498.65455596</v>
      </c>
      <c r="G11" s="259">
        <f t="shared" ref="G11:G18" si="1">IFERROR($F11/$C$24,"")</f>
        <v>0.26862889380505528</v>
      </c>
      <c r="H11" s="77" t="s">
        <v>927</v>
      </c>
    </row>
    <row r="12" spans="1:8" ht="27.75" customHeight="1" x14ac:dyDescent="0.25">
      <c r="B12" s="21" t="s">
        <v>928</v>
      </c>
      <c r="C12" s="173">
        <v>0.9</v>
      </c>
      <c r="D12" s="260">
        <f>(SUMIF('4b_Value_Pools_by_Capability'!$B$15:$B$24,$B$33,'4b_Value_Pools_by_Capability'!$O$15:$O$24)*$D$33+SUMIF('4b_Value_Pools_by_Capability'!$B$15:$B$24,$B$34,'4b_Value_Pools_by_Capability'!$O$15:$O$24)*$D$34+SUMIF('4b_Value_Pools_by_Capability'!$B$15:$B$24,$B$35,'4b_Value_Pools_by_Capability'!$O$15:$O$24)*$D$35+SUMIF('4b_Value_Pools_by_Capability'!$B$15:$B$24,$B$36,'4b_Value_Pools_by_Capability'!$O$15:$O$24)*$D$36+SUMIF('4b_Value_Pools_by_Capability'!$B$15:$B$24,$B$37,'4b_Value_Pools_by_Capability'!$O$15:$O$24)*$D$37+SUMIF('4b_Value_Pools_by_Capability'!$B$15:$B$24,$B$38,'4b_Value_Pools_by_Capability'!$O$15:$O$24)*$D$38+SUMIF('4b_Value_Pools_by_Capability'!$B$15:$B$24,$B$39,'4b_Value_Pools_by_Capability'!$O$15:$O$24)*$D$39+SUMIF('4b_Value_Pools_by_Capability'!$B$15:$B$24,$B$40,'4b_Value_Pools_by_Capability'!$O$15:$O$24)*$D$40+SUMIF('4b_Value_Pools_by_Capability'!$B$15:$B$24,$B$41,'4b_Value_Pools_by_Capability'!$O$15:$O$24)*$D$41+SUMIF('4b_Value_Pools_by_Capability'!$B$15:$B$24,$B$42,'4b_Value_Pools_by_Capability'!$O$15:$O$24)*$D$42)*'5_Implementation_Feasibility'!$E$13*'7_Value_Timing'!$C$25/$C$6</f>
        <v>1.1371129127091557E-3</v>
      </c>
      <c r="E12" s="261">
        <f t="shared" si="0"/>
        <v>0.90113711291270915</v>
      </c>
      <c r="F12" s="262">
        <f>(SUMIF('4b_Value_Pools_by_Capability'!$B$15:$B$24,$B$33,'4b_Value_Pools_by_Capability'!$O$15:$O$24)*$D$33+SUMIF('4b_Value_Pools_by_Capability'!$B$15:$B$24,$B$34,'4b_Value_Pools_by_Capability'!$O$15:$O$24)*$D$34+SUMIF('4b_Value_Pools_by_Capability'!$B$15:$B$24,$B$35,'4b_Value_Pools_by_Capability'!$O$15:$O$24)*$D$35+SUMIF('4b_Value_Pools_by_Capability'!$B$15:$B$24,$B$36,'4b_Value_Pools_by_Capability'!$O$15:$O$24)*$D$36+SUMIF('4b_Value_Pools_by_Capability'!$B$15:$B$24,$B$37,'4b_Value_Pools_by_Capability'!$O$15:$O$24)*$D$37+SUMIF('4b_Value_Pools_by_Capability'!$B$15:$B$24,$B$38,'4b_Value_Pools_by_Capability'!$O$15:$O$24)*$D$38+SUMIF('4b_Value_Pools_by_Capability'!$B$15:$B$24,$B$39,'4b_Value_Pools_by_Capability'!$O$15:$O$24)*$D$39+SUMIF('4b_Value_Pools_by_Capability'!$B$15:$B$24,$B$40,'4b_Value_Pools_by_Capability'!$O$15:$O$24)*$D$40+SUMIF('4b_Value_Pools_by_Capability'!$B$15:$B$24,$B$41,'4b_Value_Pools_by_Capability'!$O$15:$O$24)*$D$41+SUMIF('4b_Value_Pools_by_Capability'!$B$15:$B$24,$B$42,'4b_Value_Pools_by_Capability'!$O$15:$O$24)*$D$42)*'5_Implementation_Feasibility'!$E$13*'7_Value_Timing'!$C$25</f>
        <v>1364535.4952509869</v>
      </c>
      <c r="G12" s="263">
        <f t="shared" si="1"/>
        <v>3.1403187226235765E-2</v>
      </c>
      <c r="H12" s="58" t="s">
        <v>929</v>
      </c>
    </row>
    <row r="13" spans="1:8" ht="27.75" customHeight="1" x14ac:dyDescent="0.25">
      <c r="B13" s="255" t="s">
        <v>930</v>
      </c>
      <c r="C13" s="173">
        <v>0.73</v>
      </c>
      <c r="D13" s="256">
        <f>(SUMIF('4b_Value_Pools_by_Capability'!$B$15:$B$24,$B$33,'4b_Value_Pools_by_Capability'!$O$15:$O$24)*$E$33+SUMIF('4b_Value_Pools_by_Capability'!$B$15:$B$24,$B$34,'4b_Value_Pools_by_Capability'!$O$15:$O$24)*$E$34+SUMIF('4b_Value_Pools_by_Capability'!$B$15:$B$24,$B$35,'4b_Value_Pools_by_Capability'!$O$15:$O$24)*$E$35+SUMIF('4b_Value_Pools_by_Capability'!$B$15:$B$24,$B$36,'4b_Value_Pools_by_Capability'!$O$15:$O$24)*$E$36+SUMIF('4b_Value_Pools_by_Capability'!$B$15:$B$24,$B$37,'4b_Value_Pools_by_Capability'!$O$15:$O$24)*$E$37+SUMIF('4b_Value_Pools_by_Capability'!$B$15:$B$24,$B$38,'4b_Value_Pools_by_Capability'!$O$15:$O$24)*$E$38+SUMIF('4b_Value_Pools_by_Capability'!$B$15:$B$24,$B$39,'4b_Value_Pools_by_Capability'!$O$15:$O$24)*$E$39+SUMIF('4b_Value_Pools_by_Capability'!$B$15:$B$24,$B$40,'4b_Value_Pools_by_Capability'!$O$15:$O$24)*$E$40+SUMIF('4b_Value_Pools_by_Capability'!$B$15:$B$24,$B$41,'4b_Value_Pools_by_Capability'!$O$15:$O$24)*$E$41+SUMIF('4b_Value_Pools_by_Capability'!$B$15:$B$24,$B$42,'4b_Value_Pools_by_Capability'!$O$15:$O$24)*$E$42)*'5_Implementation_Feasibility'!$E$13*'7_Value_Timing'!$C$25/$C$7</f>
        <v>1.6432583898434296E-4</v>
      </c>
      <c r="E13" s="257">
        <f t="shared" si="0"/>
        <v>0.73016432583898427</v>
      </c>
      <c r="F13" s="258">
        <f>(SUMIF('4b_Value_Pools_by_Capability'!$B$15:$B$24,$B$33,'4b_Value_Pools_by_Capability'!$O$15:$O$24)*$E$33+SUMIF('4b_Value_Pools_by_Capability'!$B$15:$B$24,$B$34,'4b_Value_Pools_by_Capability'!$O$15:$O$24)*$E$34+SUMIF('4b_Value_Pools_by_Capability'!$B$15:$B$24,$B$35,'4b_Value_Pools_by_Capability'!$O$15:$O$24)*$E$35+SUMIF('4b_Value_Pools_by_Capability'!$B$15:$B$24,$B$36,'4b_Value_Pools_by_Capability'!$O$15:$O$24)*$E$36+SUMIF('4b_Value_Pools_by_Capability'!$B$15:$B$24,$B$37,'4b_Value_Pools_by_Capability'!$O$15:$O$24)*$E$37+SUMIF('4b_Value_Pools_by_Capability'!$B$15:$B$24,$B$38,'4b_Value_Pools_by_Capability'!$O$15:$O$24)*$E$38+SUMIF('4b_Value_Pools_by_Capability'!$B$15:$B$24,$B$39,'4b_Value_Pools_by_Capability'!$O$15:$O$24)*$E$39+SUMIF('4b_Value_Pools_by_Capability'!$B$15:$B$24,$B$40,'4b_Value_Pools_by_Capability'!$O$15:$O$24)*$E$40+SUMIF('4b_Value_Pools_by_Capability'!$B$15:$B$24,$B$41,'4b_Value_Pools_by_Capability'!$O$15:$O$24)*$E$41+SUMIF('4b_Value_Pools_by_Capability'!$B$15:$B$24,$B$42,'4b_Value_Pools_by_Capability'!$O$15:$O$24)*$E$42)*'5_Implementation_Feasibility'!$E$13*'7_Value_Timing'!$C$25</f>
        <v>246488.75847651443</v>
      </c>
      <c r="G13" s="259">
        <f t="shared" si="1"/>
        <v>5.672650259769629E-3</v>
      </c>
      <c r="H13" s="77" t="s">
        <v>931</v>
      </c>
    </row>
    <row r="14" spans="1:8" ht="27.75" customHeight="1" x14ac:dyDescent="0.25">
      <c r="B14" s="21" t="s">
        <v>851</v>
      </c>
      <c r="C14" s="173">
        <v>0.20300000000000001</v>
      </c>
      <c r="D14" s="260">
        <f>-(SUMIF('4b_Value_Pools_by_Capability'!$B$15:$B$24,$B$33,'4b_Value_Pools_by_Capability'!$O$15:$O$24)*$F$33+SUMIF('4b_Value_Pools_by_Capability'!$B$15:$B$24,$B$34,'4b_Value_Pools_by_Capability'!$O$15:$O$24)*$F$34+SUMIF('4b_Value_Pools_by_Capability'!$B$15:$B$24,$B$35,'4b_Value_Pools_by_Capability'!$O$15:$O$24)*$F$35+SUMIF('4b_Value_Pools_by_Capability'!$B$15:$B$24,$B$36,'4b_Value_Pools_by_Capability'!$O$15:$O$24)*$F$36+SUMIF('4b_Value_Pools_by_Capability'!$B$15:$B$24,$B$37,'4b_Value_Pools_by_Capability'!$O$15:$O$24)*$F$37+SUMIF('4b_Value_Pools_by_Capability'!$B$15:$B$24,$B$38,'4b_Value_Pools_by_Capability'!$O$15:$O$24)*$F$38+SUMIF('4b_Value_Pools_by_Capability'!$B$15:$B$24,$B$39,'4b_Value_Pools_by_Capability'!$O$15:$O$24)*$F$39+SUMIF('4b_Value_Pools_by_Capability'!$B$15:$B$24,$B$40,'4b_Value_Pools_by_Capability'!$O$15:$O$24)*$F$40+SUMIF('4b_Value_Pools_by_Capability'!$B$15:$B$24,$B$41,'4b_Value_Pools_by_Capability'!$O$15:$O$24)*$F$41+SUMIF('4b_Value_Pools_by_Capability'!$B$15:$B$24,$B$42,'4b_Value_Pools_by_Capability'!$O$15:$O$24)*$F$42)*'5_Implementation_Feasibility'!$E$13*'7_Value_Timing'!$C$25/$C$7</f>
        <v>-6.0005161084821946E-3</v>
      </c>
      <c r="E14" s="261">
        <f t="shared" si="0"/>
        <v>0.19699948389151781</v>
      </c>
      <c r="F14" s="262">
        <f>(SUMIF('4b_Value_Pools_by_Capability'!$B$15:$B$24,$B$33,'4b_Value_Pools_by_Capability'!$O$15:$O$24)*$F$33+SUMIF('4b_Value_Pools_by_Capability'!$B$15:$B$24,$B$34,'4b_Value_Pools_by_Capability'!$O$15:$O$24)*$F$34+SUMIF('4b_Value_Pools_by_Capability'!$B$15:$B$24,$B$35,'4b_Value_Pools_by_Capability'!$O$15:$O$24)*$F$35+SUMIF('4b_Value_Pools_by_Capability'!$B$15:$B$24,$B$36,'4b_Value_Pools_by_Capability'!$O$15:$O$24)*$F$36+SUMIF('4b_Value_Pools_by_Capability'!$B$15:$B$24,$B$37,'4b_Value_Pools_by_Capability'!$O$15:$O$24)*$F$37+SUMIF('4b_Value_Pools_by_Capability'!$B$15:$B$24,$B$38,'4b_Value_Pools_by_Capability'!$O$15:$O$24)*$F$38+SUMIF('4b_Value_Pools_by_Capability'!$B$15:$B$24,$B$39,'4b_Value_Pools_by_Capability'!$O$15:$O$24)*$F$39+SUMIF('4b_Value_Pools_by_Capability'!$B$15:$B$24,$B$40,'4b_Value_Pools_by_Capability'!$O$15:$O$24)*$F$40+SUMIF('4b_Value_Pools_by_Capability'!$B$15:$B$24,$B$41,'4b_Value_Pools_by_Capability'!$O$15:$O$24)*$F$41+SUMIF('4b_Value_Pools_by_Capability'!$B$15:$B$24,$B$42,'4b_Value_Pools_by_Capability'!$O$15:$O$24)*$F$42)*'5_Implementation_Feasibility'!$E$13*'7_Value_Timing'!$C$25</f>
        <v>9000774.1627232917</v>
      </c>
      <c r="G14" s="263">
        <f t="shared" si="1"/>
        <v>0.20714228189503781</v>
      </c>
      <c r="H14" s="58" t="s">
        <v>932</v>
      </c>
    </row>
    <row r="15" spans="1:8" ht="27.75" customHeight="1" x14ac:dyDescent="0.25">
      <c r="B15" s="255" t="s">
        <v>863</v>
      </c>
      <c r="C15" s="173">
        <v>5.8000000000000003E-2</v>
      </c>
      <c r="D15" s="256">
        <f>-(SUMIF('4b_Value_Pools_by_Capability'!$B$15:$B$24,$B$33,'4b_Value_Pools_by_Capability'!$O$15:$O$24)*$G$33+SUMIF('4b_Value_Pools_by_Capability'!$B$15:$B$24,$B$34,'4b_Value_Pools_by_Capability'!$O$15:$O$24)*$G$34+SUMIF('4b_Value_Pools_by_Capability'!$B$15:$B$24,$B$35,'4b_Value_Pools_by_Capability'!$O$15:$O$24)*$G$35+SUMIF('4b_Value_Pools_by_Capability'!$B$15:$B$24,$B$36,'4b_Value_Pools_by_Capability'!$O$15:$O$24)*$G$36+SUMIF('4b_Value_Pools_by_Capability'!$B$15:$B$24,$B$37,'4b_Value_Pools_by_Capability'!$O$15:$O$24)*$G$37+SUMIF('4b_Value_Pools_by_Capability'!$B$15:$B$24,$B$38,'4b_Value_Pools_by_Capability'!$O$15:$O$24)*$G$38+SUMIF('4b_Value_Pools_by_Capability'!$B$15:$B$24,$B$39,'4b_Value_Pools_by_Capability'!$O$15:$O$24)*$G$39+SUMIF('4b_Value_Pools_by_Capability'!$B$15:$B$24,$B$40,'4b_Value_Pools_by_Capability'!$O$15:$O$24)*$G$40+SUMIF('4b_Value_Pools_by_Capability'!$B$15:$B$24,$B$41,'4b_Value_Pools_by_Capability'!$O$15:$O$24)*$G$41+SUMIF('4b_Value_Pools_by_Capability'!$B$15:$B$24,$B$42,'4b_Value_Pools_by_Capability'!$O$15:$O$24)*$G$42)*'5_Implementation_Feasibility'!$E$13*'7_Value_Timing'!$C$25/$C$7</f>
        <v>-1.7865687013959451E-3</v>
      </c>
      <c r="E15" s="257">
        <f t="shared" si="0"/>
        <v>5.6213431298604059E-2</v>
      </c>
      <c r="F15" s="258">
        <f>(SUMIF('4b_Value_Pools_by_Capability'!$B$15:$B$24,$B$33,'4b_Value_Pools_by_Capability'!$O$15:$O$24)*$G$33+SUMIF('4b_Value_Pools_by_Capability'!$B$15:$B$24,$B$34,'4b_Value_Pools_by_Capability'!$O$15:$O$24)*$G$34+SUMIF('4b_Value_Pools_by_Capability'!$B$15:$B$24,$B$35,'4b_Value_Pools_by_Capability'!$O$15:$O$24)*$G$35+SUMIF('4b_Value_Pools_by_Capability'!$B$15:$B$24,$B$36,'4b_Value_Pools_by_Capability'!$O$15:$O$24)*$G$36+SUMIF('4b_Value_Pools_by_Capability'!$B$15:$B$24,$B$37,'4b_Value_Pools_by_Capability'!$O$15:$O$24)*$G$37+SUMIF('4b_Value_Pools_by_Capability'!$B$15:$B$24,$B$38,'4b_Value_Pools_by_Capability'!$O$15:$O$24)*$G$38+SUMIF('4b_Value_Pools_by_Capability'!$B$15:$B$24,$B$39,'4b_Value_Pools_by_Capability'!$O$15:$O$24)*$G$39+SUMIF('4b_Value_Pools_by_Capability'!$B$15:$B$24,$B$40,'4b_Value_Pools_by_Capability'!$O$15:$O$24)*$G$40+SUMIF('4b_Value_Pools_by_Capability'!$B$15:$B$24,$B$41,'4b_Value_Pools_by_Capability'!$O$15:$O$24)*$G$41+SUMIF('4b_Value_Pools_by_Capability'!$B$15:$B$24,$B$42,'4b_Value_Pools_by_Capability'!$O$15:$O$24)*$G$42)*'5_Implementation_Feasibility'!$E$13*'7_Value_Timing'!$C$25</f>
        <v>2679853.0520939175</v>
      </c>
      <c r="G15" s="259">
        <f t="shared" si="1"/>
        <v>6.1673681209901646E-2</v>
      </c>
      <c r="H15" s="77" t="s">
        <v>933</v>
      </c>
    </row>
    <row r="16" spans="1:8" ht="27.75" customHeight="1" x14ac:dyDescent="0.25">
      <c r="B16" s="21" t="s">
        <v>934</v>
      </c>
      <c r="C16" s="173">
        <v>0.11600000000000001</v>
      </c>
      <c r="D16" s="260">
        <f>-(SUMIF('4b_Value_Pools_by_Capability'!$B$15:$B$24,$B$33,'4b_Value_Pools_by_Capability'!$O$15:$O$24)*$H$33+SUMIF('4b_Value_Pools_by_Capability'!$B$15:$B$24,$B$34,'4b_Value_Pools_by_Capability'!$O$15:$O$24)*$H$34+SUMIF('4b_Value_Pools_by_Capability'!$B$15:$B$24,$B$35,'4b_Value_Pools_by_Capability'!$O$15:$O$24)*$H$35+SUMIF('4b_Value_Pools_by_Capability'!$B$15:$B$24,$B$36,'4b_Value_Pools_by_Capability'!$O$15:$O$24)*$H$36+SUMIF('4b_Value_Pools_by_Capability'!$B$15:$B$24,$B$37,'4b_Value_Pools_by_Capability'!$O$15:$O$24)*$H$37+SUMIF('4b_Value_Pools_by_Capability'!$B$15:$B$24,$B$38,'4b_Value_Pools_by_Capability'!$O$15:$O$24)*$H$38+SUMIF('4b_Value_Pools_by_Capability'!$B$15:$B$24,$B$39,'4b_Value_Pools_by_Capability'!$O$15:$O$24)*$H$39+SUMIF('4b_Value_Pools_by_Capability'!$B$15:$B$24,$B$40,'4b_Value_Pools_by_Capability'!$O$15:$O$24)*$H$40+SUMIF('4b_Value_Pools_by_Capability'!$B$15:$B$24,$B$41,'4b_Value_Pools_by_Capability'!$O$15:$O$24)*$H$41+SUMIF('4b_Value_Pools_by_Capability'!$B$15:$B$24,$B$42,'4b_Value_Pools_by_Capability'!$O$15:$O$24)*$H$42)*'5_Implementation_Feasibility'!$E$13*'7_Value_Timing'!$C$25/$C$7</f>
        <v>-1.3707168373405215E-3</v>
      </c>
      <c r="E16" s="261">
        <f t="shared" si="0"/>
        <v>0.11462928316265948</v>
      </c>
      <c r="F16" s="262">
        <f>(SUMIF('4b_Value_Pools_by_Capability'!$B$15:$B$24,$B$33,'4b_Value_Pools_by_Capability'!$O$15:$O$24)*$H$33+SUMIF('4b_Value_Pools_by_Capability'!$B$15:$B$24,$B$34,'4b_Value_Pools_by_Capability'!$O$15:$O$24)*$H$34+SUMIF('4b_Value_Pools_by_Capability'!$B$15:$B$24,$B$35,'4b_Value_Pools_by_Capability'!$O$15:$O$24)*$H$35+SUMIF('4b_Value_Pools_by_Capability'!$B$15:$B$24,$B$36,'4b_Value_Pools_by_Capability'!$O$15:$O$24)*$H$36+SUMIF('4b_Value_Pools_by_Capability'!$B$15:$B$24,$B$37,'4b_Value_Pools_by_Capability'!$O$15:$O$24)*$H$37+SUMIF('4b_Value_Pools_by_Capability'!$B$15:$B$24,$B$38,'4b_Value_Pools_by_Capability'!$O$15:$O$24)*$H$38+SUMIF('4b_Value_Pools_by_Capability'!$B$15:$B$24,$B$39,'4b_Value_Pools_by_Capability'!$O$15:$O$24)*$H$39+SUMIF('4b_Value_Pools_by_Capability'!$B$15:$B$24,$B$40,'4b_Value_Pools_by_Capability'!$O$15:$O$24)*$H$40+SUMIF('4b_Value_Pools_by_Capability'!$B$15:$B$24,$B$41,'4b_Value_Pools_by_Capability'!$O$15:$O$24)*$H$41+SUMIF('4b_Value_Pools_by_Capability'!$B$15:$B$24,$B$42,'4b_Value_Pools_by_Capability'!$O$15:$O$24)*$H$42)*'5_Implementation_Feasibility'!$E$13*'7_Value_Timing'!$C$25</f>
        <v>2056075.2560107822</v>
      </c>
      <c r="G16" s="263">
        <f t="shared" si="1"/>
        <v>4.7318165368692724E-2</v>
      </c>
      <c r="H16" s="58" t="s">
        <v>935</v>
      </c>
    </row>
    <row r="17" spans="2:12" ht="27.75" customHeight="1" x14ac:dyDescent="0.25">
      <c r="B17" s="255" t="s">
        <v>936</v>
      </c>
      <c r="C17" s="264">
        <v>0.12</v>
      </c>
      <c r="D17" s="256">
        <f>(SUMIF('4b_Value_Pools_by_Capability'!$B$15:$B$24,$B$33,'4b_Value_Pools_by_Capability'!$O$15:$O$24)*$K$33+SUMIF('4b_Value_Pools_by_Capability'!$B$15:$B$24,$B$34,'4b_Value_Pools_by_Capability'!$O$15:$O$24)*$K$34+SUMIF('4b_Value_Pools_by_Capability'!$B$15:$B$24,$B$35,'4b_Value_Pools_by_Capability'!$O$15:$O$24)*$K$35+SUMIF('4b_Value_Pools_by_Capability'!$B$15:$B$24,$B$36,'4b_Value_Pools_by_Capability'!$O$15:$O$24)*$K$36+SUMIF('4b_Value_Pools_by_Capability'!$B$15:$B$24,$B$37,'4b_Value_Pools_by_Capability'!$O$15:$O$24)*$K$37+SUMIF('4b_Value_Pools_by_Capability'!$B$15:$B$24,$B$38,'4b_Value_Pools_by_Capability'!$O$15:$O$24)*$K$38+SUMIF('4b_Value_Pools_by_Capability'!$B$15:$B$24,$B$39,'4b_Value_Pools_by_Capability'!$O$15:$O$24)*$K$39+SUMIF('4b_Value_Pools_by_Capability'!$B$15:$B$24,$B$40,'4b_Value_Pools_by_Capability'!$O$15:$O$24)*$K$40+SUMIF('4b_Value_Pools_by_Capability'!$B$15:$B$24,$B$41,'4b_Value_Pools_by_Capability'!$O$15:$O$24)*$K$41+SUMIF('4b_Value_Pools_by_Capability'!$B$15:$B$24,$B$42,'4b_Value_Pools_by_Capability'!$O$15:$O$24)*$K$42)*'5_Implementation_Feasibility'!$E$13*'7_Value_Timing'!$C$25/$C$6</f>
        <v>1.111382731447841E-2</v>
      </c>
      <c r="E17" s="257">
        <f t="shared" si="0"/>
        <v>0.1311138273144784</v>
      </c>
      <c r="F17" s="258">
        <f>(SUMIF('4b_Value_Pools_by_Capability'!$B$15:$B$24,$B$33,'4b_Value_Pools_by_Capability'!$O$15:$O$24)*$K$33+SUMIF('4b_Value_Pools_by_Capability'!$B$15:$B$24,$B$34,'4b_Value_Pools_by_Capability'!$O$15:$O$24)*$K$34+SUMIF('4b_Value_Pools_by_Capability'!$B$15:$B$24,$B$35,'4b_Value_Pools_by_Capability'!$O$15:$O$24)*$K$35+SUMIF('4b_Value_Pools_by_Capability'!$B$15:$B$24,$B$36,'4b_Value_Pools_by_Capability'!$O$15:$O$24)*$K$36+SUMIF('4b_Value_Pools_by_Capability'!$B$15:$B$24,$B$37,'4b_Value_Pools_by_Capability'!$O$15:$O$24)*$K$37+SUMIF('4b_Value_Pools_by_Capability'!$B$15:$B$24,$B$38,'4b_Value_Pools_by_Capability'!$O$15:$O$24)*$K$38+SUMIF('4b_Value_Pools_by_Capability'!$B$15:$B$24,$B$39,'4b_Value_Pools_by_Capability'!$O$15:$O$24)*$K$39+SUMIF('4b_Value_Pools_by_Capability'!$B$15:$B$24,$B$40,'4b_Value_Pools_by_Capability'!$O$15:$O$24)*$K$40+SUMIF('4b_Value_Pools_by_Capability'!$B$15:$B$24,$B$41,'4b_Value_Pools_by_Capability'!$O$15:$O$24)*$K$41+SUMIF('4b_Value_Pools_by_Capability'!$B$15:$B$24,$B$42,'4b_Value_Pools_by_Capability'!$O$15:$O$24)*$K$42)*'5_Implementation_Feasibility'!$E$13*'7_Value_Timing'!$C$25</f>
        <v>13336592.777374092</v>
      </c>
      <c r="G17" s="259">
        <f t="shared" si="1"/>
        <v>0.30692607220958207</v>
      </c>
      <c r="H17" s="265" t="s">
        <v>937</v>
      </c>
    </row>
    <row r="18" spans="2:12" ht="27.75" customHeight="1" x14ac:dyDescent="0.25">
      <c r="B18" s="21" t="s">
        <v>938</v>
      </c>
      <c r="C18" s="173">
        <v>0.9</v>
      </c>
      <c r="D18" s="260">
        <f>(SUMIF('4b_Value_Pools_by_Capability'!$B$15:$B$24,$B$33,'4b_Value_Pools_by_Capability'!$O$15:$O$24)*$J$33+SUMIF('4b_Value_Pools_by_Capability'!$B$15:$B$24,$B$34,'4b_Value_Pools_by_Capability'!$O$15:$O$24)*$J$34+SUMIF('4b_Value_Pools_by_Capability'!$B$15:$B$24,$B$35,'4b_Value_Pools_by_Capability'!$O$15:$O$24)*$J$35+SUMIF('4b_Value_Pools_by_Capability'!$B$15:$B$24,$B$36,'4b_Value_Pools_by_Capability'!$O$15:$O$24)*$J$36+SUMIF('4b_Value_Pools_by_Capability'!$B$15:$B$24,$B$37,'4b_Value_Pools_by_Capability'!$O$15:$O$24)*$J$37+SUMIF('4b_Value_Pools_by_Capability'!$B$15:$B$24,$B$38,'4b_Value_Pools_by_Capability'!$O$15:$O$24)*$J$38+SUMIF('4b_Value_Pools_by_Capability'!$B$15:$B$24,$B$39,'4b_Value_Pools_by_Capability'!$O$15:$O$24)*$J$39+SUMIF('4b_Value_Pools_by_Capability'!$B$15:$B$24,$B$40,'4b_Value_Pools_by_Capability'!$O$15:$O$24)*$J$40+SUMIF('4b_Value_Pools_by_Capability'!$B$15:$B$24,$B$41,'4b_Value_Pools_by_Capability'!$O$15:$O$24)*$J$41+SUMIF('4b_Value_Pools_by_Capability'!$B$15:$B$24,$B$42,'4b_Value_Pools_by_Capability'!$O$15:$O$24)*$J$42)*'5_Implementation_Feasibility'!$E$13*'7_Value_Timing'!$C$25/$C$7</f>
        <v>2.0635438079888617E-3</v>
      </c>
      <c r="E18" s="261">
        <f t="shared" si="0"/>
        <v>0.90206354380798892</v>
      </c>
      <c r="F18" s="262">
        <f>(SUMIF('4b_Value_Pools_by_Capability'!$B$15:$B$24,$B$33,'4b_Value_Pools_by_Capability'!$O$15:$O$24)*$J$33+SUMIF('4b_Value_Pools_by_Capability'!$B$15:$B$24,$B$34,'4b_Value_Pools_by_Capability'!$O$15:$O$24)*$J$34+SUMIF('4b_Value_Pools_by_Capability'!$B$15:$B$24,$B$35,'4b_Value_Pools_by_Capability'!$O$15:$O$24)*$J$35+SUMIF('4b_Value_Pools_by_Capability'!$B$15:$B$24,$B$36,'4b_Value_Pools_by_Capability'!$O$15:$O$24)*$J$36+SUMIF('4b_Value_Pools_by_Capability'!$B$15:$B$24,$B$37,'4b_Value_Pools_by_Capability'!$O$15:$O$24)*$J$37+SUMIF('4b_Value_Pools_by_Capability'!$B$15:$B$24,$B$38,'4b_Value_Pools_by_Capability'!$O$15:$O$24)*$J$38+SUMIF('4b_Value_Pools_by_Capability'!$B$15:$B$24,$B$39,'4b_Value_Pools_by_Capability'!$O$15:$O$24)*$J$39+SUMIF('4b_Value_Pools_by_Capability'!$B$15:$B$24,$B$40,'4b_Value_Pools_by_Capability'!$O$15:$O$24)*$J$40+SUMIF('4b_Value_Pools_by_Capability'!$B$15:$B$24,$B$41,'4b_Value_Pools_by_Capability'!$O$15:$O$24)*$J$41+SUMIF('4b_Value_Pools_by_Capability'!$B$15:$B$24,$B$42,'4b_Value_Pools_by_Capability'!$O$15:$O$24)*$J$42)*'5_Implementation_Feasibility'!$E$13*'7_Value_Timing'!$C$25</f>
        <v>3095315.7119832924</v>
      </c>
      <c r="G18" s="263">
        <f t="shared" si="1"/>
        <v>7.1235068025725129E-2</v>
      </c>
      <c r="H18" s="58" t="s">
        <v>939</v>
      </c>
    </row>
    <row r="19" spans="2:12" ht="27.75" customHeight="1" x14ac:dyDescent="0.25">
      <c r="B19" s="255" t="s">
        <v>940</v>
      </c>
      <c r="C19" s="173">
        <v>0.42</v>
      </c>
      <c r="D19" s="256">
        <f>-$D$14-$D$15-$D$16+$D$13</f>
        <v>9.3221274862030044E-3</v>
      </c>
      <c r="E19" s="257">
        <f t="shared" si="0"/>
        <v>0.42932212748620296</v>
      </c>
      <c r="F19" s="266" t="str">
        <f>"derived"</f>
        <v>derived</v>
      </c>
      <c r="G19" s="259"/>
      <c r="H19" s="265" t="s">
        <v>941</v>
      </c>
    </row>
    <row r="20" spans="2:12" ht="15" customHeight="1" x14ac:dyDescent="0.25">
      <c r="B20" s="267" t="s">
        <v>942</v>
      </c>
      <c r="C20" s="268">
        <f>$C$21+$C$19</f>
        <v>0.55000000000000004</v>
      </c>
      <c r="D20" s="269">
        <f>$D$21+$D$19</f>
        <v>3.0163037012811381E-2</v>
      </c>
      <c r="E20" s="268">
        <f>$C$20+$D$20</f>
        <v>0.58016303701281147</v>
      </c>
      <c r="F20" s="270" t="str">
        <f>"derived"</f>
        <v>derived</v>
      </c>
      <c r="G20" s="271"/>
      <c r="H20" s="271" t="s">
        <v>943</v>
      </c>
    </row>
    <row r="21" spans="2:12" ht="18" customHeight="1" x14ac:dyDescent="0.25">
      <c r="B21" s="49" t="s">
        <v>944</v>
      </c>
      <c r="C21" s="272">
        <f>$C$17+($C$11-1)</f>
        <v>0.13</v>
      </c>
      <c r="D21" s="273">
        <f>$D$17+$D$11</f>
        <v>2.0840909526608376E-2</v>
      </c>
      <c r="E21" s="272">
        <f>$C$21+$D$21</f>
        <v>0.15084090952660839</v>
      </c>
      <c r="F21" s="270" t="str">
        <f>"derived"</f>
        <v>derived</v>
      </c>
      <c r="G21" s="51"/>
      <c r="H21" s="274" t="s">
        <v>945</v>
      </c>
      <c r="I21" s="51"/>
    </row>
    <row r="22" spans="2:12" ht="30" customHeight="1" x14ac:dyDescent="0.25">
      <c r="B22" s="30" t="s">
        <v>946</v>
      </c>
    </row>
    <row r="23" spans="2:12" ht="15" customHeight="1" x14ac:dyDescent="0.25">
      <c r="B23" s="56"/>
      <c r="C23" s="243"/>
      <c r="D23" s="9"/>
      <c r="E23" s="9"/>
      <c r="F23" s="9"/>
      <c r="G23" s="56"/>
      <c r="H23" s="9"/>
    </row>
    <row r="24" spans="2:12" ht="15" customHeight="1" x14ac:dyDescent="0.25">
      <c r="B24" s="36" t="s">
        <v>947</v>
      </c>
      <c r="C24" s="275">
        <f>SUM($F$11:$F$18)</f>
        <v>43452133.868468836</v>
      </c>
      <c r="D24" s="9"/>
      <c r="E24" s="276" t="s">
        <v>948</v>
      </c>
      <c r="F24" s="9"/>
      <c r="G24" s="58"/>
      <c r="H24" s="9"/>
      <c r="I24" s="51"/>
    </row>
    <row r="25" spans="2:12" ht="15" customHeight="1" x14ac:dyDescent="0.25">
      <c r="B25" s="39" t="s">
        <v>949</v>
      </c>
      <c r="C25" s="277">
        <f>'4b_Value_Pools_by_Capability'!$O$25*'5_Implementation_Feasibility'!$E$13*'7_Value_Timing'!$C$25</f>
        <v>43452133.868468843</v>
      </c>
      <c r="D25" s="9"/>
      <c r="E25" s="9"/>
      <c r="F25" s="9"/>
      <c r="G25" s="56"/>
      <c r="H25" s="9"/>
    </row>
    <row r="26" spans="2:12" ht="15" customHeight="1" x14ac:dyDescent="0.25">
      <c r="B26" s="39" t="s">
        <v>950</v>
      </c>
      <c r="C26" s="278">
        <f>$C$24-$C$25</f>
        <v>0</v>
      </c>
      <c r="D26" s="9"/>
      <c r="E26" s="276" t="s">
        <v>951</v>
      </c>
      <c r="F26" s="9"/>
      <c r="G26" s="9"/>
      <c r="H26" s="9"/>
    </row>
    <row r="27" spans="2:12" ht="111" customHeight="1" x14ac:dyDescent="0.25">
      <c r="B27" s="3" t="s">
        <v>952</v>
      </c>
    </row>
    <row r="28" spans="2:12" ht="69.75" customHeight="1" x14ac:dyDescent="0.25">
      <c r="B28" s="64" t="s">
        <v>885</v>
      </c>
    </row>
    <row r="29" spans="2:12" ht="90" customHeight="1" x14ac:dyDescent="0.25">
      <c r="B29" s="3" t="s">
        <v>953</v>
      </c>
    </row>
    <row r="30" spans="2:12" ht="81" customHeight="1" x14ac:dyDescent="0.25">
      <c r="B30" s="279" t="s">
        <v>954</v>
      </c>
    </row>
    <row r="31" spans="2:12" ht="100.5" customHeight="1" x14ac:dyDescent="0.25">
      <c r="B31" s="191" t="s">
        <v>955</v>
      </c>
    </row>
    <row r="32" spans="2:12" ht="30" customHeight="1" x14ac:dyDescent="0.25">
      <c r="B32" s="280" t="s">
        <v>896</v>
      </c>
      <c r="C32" s="281" t="s">
        <v>926</v>
      </c>
      <c r="D32" s="281" t="s">
        <v>928</v>
      </c>
      <c r="E32" s="281" t="s">
        <v>930</v>
      </c>
      <c r="F32" s="281" t="s">
        <v>851</v>
      </c>
      <c r="G32" s="281" t="s">
        <v>863</v>
      </c>
      <c r="H32" s="281" t="s">
        <v>934</v>
      </c>
      <c r="I32" s="281" t="s">
        <v>944</v>
      </c>
      <c r="J32" s="281" t="s">
        <v>938</v>
      </c>
      <c r="K32" s="281" t="s">
        <v>936</v>
      </c>
      <c r="L32" s="281" t="s">
        <v>956</v>
      </c>
    </row>
    <row r="33" spans="2:12" ht="117" customHeight="1" x14ac:dyDescent="0.25">
      <c r="B33" s="282" t="s">
        <v>127</v>
      </c>
      <c r="C33" s="283">
        <v>0.4</v>
      </c>
      <c r="D33" s="284">
        <v>0</v>
      </c>
      <c r="E33" s="284">
        <v>0</v>
      </c>
      <c r="F33" s="284">
        <v>0</v>
      </c>
      <c r="G33" s="284">
        <v>0</v>
      </c>
      <c r="H33" s="284">
        <v>0</v>
      </c>
      <c r="I33" s="284">
        <v>0</v>
      </c>
      <c r="J33" s="284">
        <v>0</v>
      </c>
      <c r="K33" s="283">
        <v>0.6</v>
      </c>
      <c r="L33" s="285">
        <f t="shared" ref="L33:L42" si="2">SUM(C33:K33)</f>
        <v>1</v>
      </c>
    </row>
    <row r="34" spans="2:12" ht="95.25" customHeight="1" x14ac:dyDescent="0.25">
      <c r="B34" s="286" t="s">
        <v>158</v>
      </c>
      <c r="C34" s="283">
        <v>0.5</v>
      </c>
      <c r="D34" s="287">
        <v>0</v>
      </c>
      <c r="E34" s="287">
        <v>0</v>
      </c>
      <c r="F34" s="287">
        <v>0</v>
      </c>
      <c r="G34" s="287">
        <v>0</v>
      </c>
      <c r="H34" s="287">
        <v>0</v>
      </c>
      <c r="I34" s="287">
        <v>0</v>
      </c>
      <c r="J34" s="283">
        <v>0.5</v>
      </c>
      <c r="K34" s="287">
        <v>0</v>
      </c>
      <c r="L34" s="285">
        <f t="shared" si="2"/>
        <v>1</v>
      </c>
    </row>
    <row r="35" spans="2:12" ht="311.25" customHeight="1" x14ac:dyDescent="0.25">
      <c r="B35" s="282" t="s">
        <v>189</v>
      </c>
      <c r="C35" s="284">
        <v>0</v>
      </c>
      <c r="D35" s="284">
        <v>0</v>
      </c>
      <c r="E35" s="284">
        <v>0</v>
      </c>
      <c r="F35" s="284">
        <v>0</v>
      </c>
      <c r="G35" s="284">
        <v>0</v>
      </c>
      <c r="H35" s="283">
        <v>0.6</v>
      </c>
      <c r="I35" s="284">
        <v>0</v>
      </c>
      <c r="J35" s="284">
        <v>0</v>
      </c>
      <c r="K35" s="283">
        <v>0.4</v>
      </c>
      <c r="L35" s="285">
        <f t="shared" si="2"/>
        <v>1</v>
      </c>
    </row>
    <row r="36" spans="2:12" ht="243.75" customHeight="1" x14ac:dyDescent="0.25">
      <c r="B36" s="286" t="s">
        <v>220</v>
      </c>
      <c r="C36" s="283">
        <v>0.4</v>
      </c>
      <c r="D36" s="283">
        <v>0.6</v>
      </c>
      <c r="E36" s="287">
        <v>0</v>
      </c>
      <c r="F36" s="287">
        <v>0</v>
      </c>
      <c r="G36" s="287">
        <v>0</v>
      </c>
      <c r="H36" s="287">
        <v>0</v>
      </c>
      <c r="I36" s="287">
        <v>0</v>
      </c>
      <c r="J36" s="287">
        <v>0</v>
      </c>
      <c r="K36" s="287">
        <v>0</v>
      </c>
      <c r="L36" s="285">
        <f t="shared" si="2"/>
        <v>1</v>
      </c>
    </row>
    <row r="37" spans="2:12" ht="15" customHeight="1" x14ac:dyDescent="0.25">
      <c r="B37" s="288" t="s">
        <v>251</v>
      </c>
      <c r="C37" s="284">
        <v>0</v>
      </c>
      <c r="D37" s="284">
        <v>0</v>
      </c>
      <c r="E37" s="284">
        <v>0</v>
      </c>
      <c r="F37" s="284">
        <v>0</v>
      </c>
      <c r="G37" s="284">
        <v>0</v>
      </c>
      <c r="H37" s="284">
        <v>0</v>
      </c>
      <c r="I37" s="284">
        <v>0</v>
      </c>
      <c r="J37" s="284">
        <v>0</v>
      </c>
      <c r="K37" s="283">
        <v>1</v>
      </c>
      <c r="L37" s="285">
        <f t="shared" si="2"/>
        <v>1</v>
      </c>
    </row>
    <row r="38" spans="2:12" ht="15" customHeight="1" x14ac:dyDescent="0.25">
      <c r="B38" s="289" t="s">
        <v>282</v>
      </c>
      <c r="C38" s="287">
        <v>0</v>
      </c>
      <c r="D38" s="287">
        <v>0</v>
      </c>
      <c r="E38" s="287">
        <v>0</v>
      </c>
      <c r="F38" s="283">
        <v>1</v>
      </c>
      <c r="G38" s="287">
        <v>0</v>
      </c>
      <c r="H38" s="287">
        <v>0</v>
      </c>
      <c r="I38" s="287">
        <v>0</v>
      </c>
      <c r="J38" s="287">
        <v>0</v>
      </c>
      <c r="K38" s="287">
        <v>0</v>
      </c>
      <c r="L38" s="285">
        <f t="shared" si="2"/>
        <v>1</v>
      </c>
    </row>
    <row r="39" spans="2:12" ht="15" customHeight="1" x14ac:dyDescent="0.25">
      <c r="B39" s="288" t="s">
        <v>313</v>
      </c>
      <c r="C39" s="284">
        <v>0</v>
      </c>
      <c r="D39" s="284">
        <v>0</v>
      </c>
      <c r="E39" s="284">
        <v>0</v>
      </c>
      <c r="F39" s="284">
        <v>0</v>
      </c>
      <c r="G39" s="283">
        <v>1</v>
      </c>
      <c r="H39" s="284">
        <v>0</v>
      </c>
      <c r="I39" s="284">
        <v>0</v>
      </c>
      <c r="J39" s="284">
        <v>0</v>
      </c>
      <c r="K39" s="284">
        <v>0</v>
      </c>
      <c r="L39" s="285">
        <f t="shared" si="2"/>
        <v>1</v>
      </c>
    </row>
    <row r="40" spans="2:12" ht="15" customHeight="1" x14ac:dyDescent="0.25">
      <c r="B40" s="289" t="s">
        <v>344</v>
      </c>
      <c r="C40" s="287">
        <v>0</v>
      </c>
      <c r="D40" s="287">
        <v>0</v>
      </c>
      <c r="E40" s="283">
        <v>1</v>
      </c>
      <c r="F40" s="287">
        <v>0</v>
      </c>
      <c r="G40" s="287">
        <v>0</v>
      </c>
      <c r="H40" s="287">
        <v>0</v>
      </c>
      <c r="I40" s="287">
        <v>0</v>
      </c>
      <c r="J40" s="287">
        <v>0</v>
      </c>
      <c r="K40" s="287">
        <v>0</v>
      </c>
      <c r="L40" s="285">
        <f t="shared" si="2"/>
        <v>1</v>
      </c>
    </row>
    <row r="41" spans="2:12" ht="15" customHeight="1" x14ac:dyDescent="0.25">
      <c r="B41" s="288" t="s">
        <v>375</v>
      </c>
      <c r="C41" s="284">
        <v>0</v>
      </c>
      <c r="D41" s="284">
        <v>0</v>
      </c>
      <c r="E41" s="284">
        <v>0</v>
      </c>
      <c r="F41" s="284">
        <v>0</v>
      </c>
      <c r="G41" s="283">
        <v>1</v>
      </c>
      <c r="H41" s="284">
        <v>0</v>
      </c>
      <c r="I41" s="284">
        <v>0</v>
      </c>
      <c r="J41" s="284">
        <v>0</v>
      </c>
      <c r="K41" s="284">
        <v>0</v>
      </c>
      <c r="L41" s="285">
        <f t="shared" si="2"/>
        <v>1</v>
      </c>
    </row>
    <row r="42" spans="2:12" ht="15" customHeight="1" x14ac:dyDescent="0.25">
      <c r="B42" s="289" t="s">
        <v>405</v>
      </c>
      <c r="C42" s="287">
        <v>0</v>
      </c>
      <c r="D42" s="287">
        <v>0</v>
      </c>
      <c r="E42" s="287">
        <v>0</v>
      </c>
      <c r="F42" s="287">
        <v>0</v>
      </c>
      <c r="G42" s="287">
        <v>0</v>
      </c>
      <c r="H42" s="287">
        <v>0</v>
      </c>
      <c r="I42" s="287">
        <v>0</v>
      </c>
      <c r="J42" s="287">
        <v>0</v>
      </c>
      <c r="K42" s="287">
        <v>0</v>
      </c>
      <c r="L42" s="285">
        <f t="shared" si="2"/>
        <v>0</v>
      </c>
    </row>
  </sheetData>
  <mergeCells count="1">
    <mergeCell ref="B2:C2"/>
  </mergeCells>
  <pageMargins left="0.75" right="0.75" top="1" bottom="1" header="0.511811023622047" footer="0.511811023622047"/>
  <pageSetup paperSize="9"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43"/>
  <sheetViews>
    <sheetView zoomScaleNormal="100" workbookViewId="0"/>
  </sheetViews>
  <sheetFormatPr defaultColWidth="8.7109375" defaultRowHeight="15" x14ac:dyDescent="0.25"/>
  <cols>
    <col min="2" max="2" width="3" customWidth="1"/>
    <col min="3" max="3" width="30" customWidth="1"/>
    <col min="4" max="5" width="12" customWidth="1"/>
    <col min="6" max="6" width="13" customWidth="1"/>
    <col min="7" max="7" width="15" customWidth="1"/>
    <col min="8" max="8" width="48" customWidth="1"/>
    <col min="9" max="9" width="3" customWidth="1"/>
  </cols>
  <sheetData>
    <row r="2" spans="2:7" ht="18" customHeight="1" x14ac:dyDescent="0.3">
      <c r="B2" s="290" t="s">
        <v>957</v>
      </c>
    </row>
    <row r="3" spans="2:7" ht="25.5" customHeight="1" x14ac:dyDescent="0.25">
      <c r="B3" s="291" t="s">
        <v>958</v>
      </c>
    </row>
    <row r="5" spans="2:7" ht="15" customHeight="1" x14ac:dyDescent="0.25">
      <c r="B5" s="292" t="s">
        <v>959</v>
      </c>
    </row>
    <row r="6" spans="2:7" ht="15" customHeight="1" x14ac:dyDescent="0.25">
      <c r="B6" s="293" t="s">
        <v>944</v>
      </c>
      <c r="C6" s="294" t="s">
        <v>960</v>
      </c>
      <c r="D6" s="294" t="s">
        <v>961</v>
      </c>
      <c r="E6" s="294" t="s">
        <v>962</v>
      </c>
      <c r="G6" s="293" t="s">
        <v>963</v>
      </c>
    </row>
    <row r="7" spans="2:7" ht="20.25" customHeight="1" x14ac:dyDescent="0.25">
      <c r="B7" s="295" t="s">
        <v>964</v>
      </c>
      <c r="C7" s="296">
        <v>1.9</v>
      </c>
      <c r="D7" s="297">
        <v>0.1</v>
      </c>
      <c r="E7" s="298">
        <v>18</v>
      </c>
      <c r="F7" s="215"/>
      <c r="G7" s="299" t="s">
        <v>965</v>
      </c>
    </row>
    <row r="8" spans="2:7" ht="20.25" customHeight="1" x14ac:dyDescent="0.25">
      <c r="B8" s="44" t="s">
        <v>966</v>
      </c>
      <c r="C8" s="300">
        <v>3.1</v>
      </c>
      <c r="D8" s="301">
        <v>0.2</v>
      </c>
      <c r="E8" s="302">
        <v>23</v>
      </c>
      <c r="F8" s="9"/>
      <c r="G8" s="303" t="s">
        <v>967</v>
      </c>
    </row>
    <row r="9" spans="2:7" ht="39.75" customHeight="1" x14ac:dyDescent="0.25">
      <c r="B9" s="295" t="s">
        <v>968</v>
      </c>
      <c r="C9" s="296">
        <v>5.5</v>
      </c>
      <c r="D9" s="297">
        <v>0.3</v>
      </c>
      <c r="E9" s="298">
        <v>11</v>
      </c>
      <c r="F9" s="215"/>
      <c r="G9" s="299" t="s">
        <v>969</v>
      </c>
    </row>
    <row r="10" spans="2:7" ht="49.5" customHeight="1" x14ac:dyDescent="0.25">
      <c r="B10" s="44" t="s">
        <v>970</v>
      </c>
      <c r="C10" s="300">
        <v>10</v>
      </c>
      <c r="D10" s="301">
        <v>9.99</v>
      </c>
      <c r="E10" s="302">
        <v>6</v>
      </c>
      <c r="F10" s="9"/>
      <c r="G10" s="303" t="s">
        <v>971</v>
      </c>
    </row>
    <row r="12" spans="2:7" ht="15" customHeight="1" x14ac:dyDescent="0.25">
      <c r="B12" s="292" t="s">
        <v>972</v>
      </c>
    </row>
    <row r="13" spans="2:7" ht="24" customHeight="1" x14ac:dyDescent="0.25">
      <c r="B13" s="15" t="s">
        <v>973</v>
      </c>
      <c r="C13" s="304">
        <v>1.25</v>
      </c>
      <c r="D13" s="9"/>
      <c r="E13" s="9"/>
      <c r="F13" s="9"/>
      <c r="G13" s="303" t="s">
        <v>974</v>
      </c>
    </row>
    <row r="14" spans="2:7" ht="15" customHeight="1" x14ac:dyDescent="0.25">
      <c r="B14" s="15"/>
      <c r="C14" s="305"/>
      <c r="D14" s="9"/>
      <c r="E14" s="9"/>
      <c r="F14" s="9"/>
      <c r="G14" s="303"/>
    </row>
    <row r="17" spans="2:7" ht="15" customHeight="1" x14ac:dyDescent="0.25">
      <c r="B17" s="292" t="s">
        <v>975</v>
      </c>
    </row>
    <row r="18" spans="2:7" ht="24" customHeight="1" x14ac:dyDescent="0.25">
      <c r="B18" s="30" t="s">
        <v>976</v>
      </c>
    </row>
    <row r="19" spans="2:7" ht="282.75" customHeight="1" x14ac:dyDescent="0.25">
      <c r="B19" s="30" t="s">
        <v>977</v>
      </c>
    </row>
    <row r="20" spans="2:7" ht="69" customHeight="1" x14ac:dyDescent="0.25">
      <c r="B20" s="306" t="s">
        <v>978</v>
      </c>
      <c r="C20" s="307" t="s">
        <v>979</v>
      </c>
      <c r="D20" s="307" t="s">
        <v>980</v>
      </c>
      <c r="E20" s="307" t="s">
        <v>981</v>
      </c>
      <c r="F20" s="307" t="s">
        <v>982</v>
      </c>
    </row>
    <row r="21" spans="2:7" ht="15" customHeight="1" x14ac:dyDescent="0.25">
      <c r="B21" s="187" t="s">
        <v>983</v>
      </c>
    </row>
    <row r="22" spans="2:7" ht="19.5" customHeight="1" x14ac:dyDescent="0.25">
      <c r="B22" s="308" t="s">
        <v>984</v>
      </c>
      <c r="C22" s="309">
        <f>'4d_Metric_Impact'!$C$21</f>
        <v>0.13</v>
      </c>
      <c r="D22" s="310">
        <f>IFERROR(INDEX($C$7:$C$10,MATCH($C22,$D$7:$D$10,1)+1),$C$7)</f>
        <v>3.1</v>
      </c>
      <c r="E22" s="311">
        <f>'0_AI_to_EV_Bridge'!$C$12</f>
        <v>9.1666666666666661</v>
      </c>
      <c r="F22" s="312">
        <f>$E22*'0_AI_to_EV_Bridge'!$C$11</f>
        <v>11000000000</v>
      </c>
      <c r="G22" s="215"/>
    </row>
    <row r="23" spans="2:7" ht="19.5" customHeight="1" x14ac:dyDescent="0.25">
      <c r="B23" s="313" t="s">
        <v>985</v>
      </c>
      <c r="C23" s="314">
        <f>'4d_Metric_Impact'!$C$21+'4d_Metric_Impact'!$D$21*0.46</f>
        <v>0.13958681838223985</v>
      </c>
      <c r="D23" s="315">
        <f>IFERROR(INDEX($C$7:$C$10,MATCH($C23,$D$7:$D$10,1)+1),$C$7)</f>
        <v>3.1</v>
      </c>
      <c r="E23" s="316">
        <f>$E$22*$D23/$D$22+($C23-$C$22)*10*$C$13</f>
        <v>9.2865018964446637</v>
      </c>
      <c r="F23" s="317">
        <f>$E23*'0_AI_to_EV_Bridge'!$C$11</f>
        <v>11143802275.733597</v>
      </c>
      <c r="G23" s="9"/>
    </row>
    <row r="24" spans="2:7" ht="19.5" customHeight="1" x14ac:dyDescent="0.25">
      <c r="B24" s="318" t="s">
        <v>986</v>
      </c>
      <c r="C24" s="309">
        <f>'4d_Metric_Impact'!$C$21+'4d_Metric_Impact'!$D$21*0.93</f>
        <v>0.14938204585974579</v>
      </c>
      <c r="D24" s="310">
        <f>IFERROR(INDEX($C$7:$C$10,MATCH($C24,$D$7:$D$10,1)+1),$C$7)</f>
        <v>3.1</v>
      </c>
      <c r="E24" s="311">
        <f>$E$22*$D24/$D$22+($C24-$C$22)*10*$C$13</f>
        <v>9.4089422399134879</v>
      </c>
      <c r="F24" s="312">
        <f>$E24*'0_AI_to_EV_Bridge'!$C$11</f>
        <v>11290730687.896185</v>
      </c>
      <c r="G24" s="215"/>
    </row>
    <row r="25" spans="2:7" ht="19.5" customHeight="1" x14ac:dyDescent="0.25">
      <c r="B25" s="313" t="s">
        <v>987</v>
      </c>
      <c r="C25" s="314">
        <f>'4d_Metric_Impact'!$C$21+'4d_Metric_Impact'!$D$21*1</f>
        <v>0.15084090952660839</v>
      </c>
      <c r="D25" s="315">
        <f>IFERROR(INDEX($C$7:$C$10,MATCH($C25,$D$7:$D$10,1)+1),$C$7)</f>
        <v>3.1</v>
      </c>
      <c r="E25" s="316">
        <f>$E$22*$D25/$D$22+($C25-$C$22)*10*$C$13</f>
        <v>9.4271780357492716</v>
      </c>
      <c r="F25" s="317">
        <f>$E25*'0_AI_to_EV_Bridge'!$C$11</f>
        <v>11312613642.899126</v>
      </c>
      <c r="G25" s="9"/>
    </row>
    <row r="26" spans="2:7" ht="15" customHeight="1" x14ac:dyDescent="0.25">
      <c r="B26" s="187"/>
    </row>
    <row r="27" spans="2:7" ht="15" customHeight="1" x14ac:dyDescent="0.25">
      <c r="B27" s="319" t="s">
        <v>988</v>
      </c>
      <c r="C27" s="309"/>
      <c r="D27" s="310"/>
      <c r="E27" s="311"/>
      <c r="F27" s="320" t="s">
        <v>982</v>
      </c>
      <c r="G27" s="215"/>
    </row>
    <row r="28" spans="2:7" ht="15" customHeight="1" x14ac:dyDescent="0.25">
      <c r="B28" s="15" t="s">
        <v>989</v>
      </c>
      <c r="C28" s="314"/>
      <c r="D28" s="315"/>
      <c r="E28" s="316"/>
      <c r="F28" s="321">
        <f>$F23-$F$22</f>
        <v>143802275.7335968</v>
      </c>
      <c r="G28" s="9"/>
    </row>
    <row r="29" spans="2:7" ht="15" customHeight="1" x14ac:dyDescent="0.25">
      <c r="B29" s="322" t="s">
        <v>990</v>
      </c>
      <c r="C29" s="309"/>
      <c r="D29" s="310"/>
      <c r="E29" s="311"/>
      <c r="F29" s="323">
        <f>$F24-$F$22</f>
        <v>290730687.89618492</v>
      </c>
      <c r="G29" s="215"/>
    </row>
    <row r="30" spans="2:7" ht="15" customHeight="1" x14ac:dyDescent="0.25">
      <c r="B30" s="15" t="s">
        <v>991</v>
      </c>
      <c r="C30" s="314"/>
      <c r="D30" s="315"/>
      <c r="E30" s="316"/>
      <c r="F30" s="321">
        <f>$F25-$F$22</f>
        <v>312613642.89912605</v>
      </c>
      <c r="G30" s="9"/>
    </row>
    <row r="31" spans="2:7" ht="15" customHeight="1" x14ac:dyDescent="0.25">
      <c r="B31" s="324"/>
      <c r="E31" s="325"/>
      <c r="F31" s="325"/>
    </row>
    <row r="32" spans="2:7" ht="15" customHeight="1" x14ac:dyDescent="0.25">
      <c r="B32" s="15"/>
      <c r="C32" s="9"/>
      <c r="D32" s="9"/>
      <c r="E32" s="321"/>
      <c r="F32" s="321"/>
      <c r="G32" s="9"/>
    </row>
    <row r="33" spans="2:7" ht="15" customHeight="1" x14ac:dyDescent="0.25">
      <c r="B33" s="326" t="s">
        <v>992</v>
      </c>
      <c r="C33" s="9"/>
      <c r="D33" s="9"/>
      <c r="E33" s="321"/>
      <c r="F33" s="321"/>
      <c r="G33" s="9"/>
    </row>
    <row r="34" spans="2:7" ht="31.5" customHeight="1" x14ac:dyDescent="0.25">
      <c r="B34" s="250" t="s">
        <v>993</v>
      </c>
      <c r="C34" s="9"/>
      <c r="D34" s="9"/>
      <c r="E34" s="321"/>
      <c r="F34" s="321"/>
      <c r="G34" s="9"/>
    </row>
    <row r="35" spans="2:7" ht="24" customHeight="1" x14ac:dyDescent="0.25">
      <c r="B35" s="327" t="s">
        <v>994</v>
      </c>
    </row>
    <row r="36" spans="2:7" ht="24" customHeight="1" x14ac:dyDescent="0.25">
      <c r="B36" s="327" t="s">
        <v>995</v>
      </c>
    </row>
    <row r="37" spans="2:7" ht="24" customHeight="1" x14ac:dyDescent="0.25">
      <c r="B37" s="327" t="s">
        <v>996</v>
      </c>
    </row>
    <row r="38" spans="2:7" ht="24" customHeight="1" x14ac:dyDescent="0.25">
      <c r="B38" s="327" t="s">
        <v>997</v>
      </c>
    </row>
    <row r="39" spans="2:7" ht="24" customHeight="1" x14ac:dyDescent="0.25">
      <c r="B39" s="327" t="s">
        <v>998</v>
      </c>
    </row>
    <row r="40" spans="2:7" ht="31.5" customHeight="1" x14ac:dyDescent="0.25">
      <c r="B40" s="328" t="s">
        <v>999</v>
      </c>
    </row>
    <row r="41" spans="2:7" ht="25.5" customHeight="1" x14ac:dyDescent="0.25">
      <c r="B41" s="327"/>
    </row>
    <row r="42" spans="2:7" ht="25.5" customHeight="1" x14ac:dyDescent="0.25">
      <c r="B42" s="328"/>
    </row>
    <row r="43" spans="2:7" ht="25.5" customHeight="1" x14ac:dyDescent="0.25">
      <c r="B43" s="327"/>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A2540"/>
    <pageSetUpPr fitToPage="1"/>
  </sheetPr>
  <dimension ref="A1:J32"/>
  <sheetViews>
    <sheetView showGridLines="0" zoomScale="90" zoomScaleNormal="90" workbookViewId="0">
      <pane xSplit="5" ySplit="9" topLeftCell="F10" activePane="bottomRight" state="frozen"/>
      <selection pane="topRight" activeCell="F1" sqref="F1"/>
      <selection pane="bottomLeft" activeCell="A10" sqref="A10"/>
      <selection pane="bottomRight" activeCell="F11" sqref="F11"/>
    </sheetView>
  </sheetViews>
  <sheetFormatPr defaultColWidth="8.7109375" defaultRowHeight="15" x14ac:dyDescent="0.25"/>
  <cols>
    <col min="2" max="2" width="50" customWidth="1"/>
    <col min="3" max="3" width="32" customWidth="1"/>
    <col min="4" max="4" width="14" customWidth="1"/>
    <col min="5" max="5" width="12" customWidth="1"/>
    <col min="6" max="10" width="34" customWidth="1"/>
  </cols>
  <sheetData>
    <row r="1" spans="1:10" ht="33.75" customHeight="1" x14ac:dyDescent="0.25">
      <c r="B1" s="2" t="s">
        <v>1000</v>
      </c>
    </row>
    <row r="2" spans="1:10" ht="36" customHeight="1" x14ac:dyDescent="0.25">
      <c r="B2" s="4" t="s">
        <v>1001</v>
      </c>
    </row>
    <row r="3" spans="1:10" ht="18" customHeight="1" x14ac:dyDescent="0.25"/>
    <row r="4" spans="1:10" ht="24" customHeight="1" x14ac:dyDescent="0.25">
      <c r="A4" s="5"/>
      <c r="B4" s="1" t="s">
        <v>2</v>
      </c>
      <c r="C4" s="5"/>
      <c r="D4" s="5"/>
      <c r="E4" s="5"/>
      <c r="F4" s="5"/>
      <c r="G4" s="5"/>
      <c r="H4" s="5"/>
      <c r="I4" s="5"/>
      <c r="J4" s="5"/>
    </row>
    <row r="5" spans="1:10" ht="15" customHeight="1" x14ac:dyDescent="0.25">
      <c r="B5" s="3" t="s">
        <v>18</v>
      </c>
      <c r="C5" t="str">
        <f>'4b_Value_Pools_by_Capability'!$D$4</f>
        <v>Vertical SaaS</v>
      </c>
      <c r="D5" s="329" t="str">
        <f>'4b_Value_Pools_by_Capability'!$D$4</f>
        <v>Vertical SaaS</v>
      </c>
    </row>
    <row r="6" spans="1:10" ht="15" customHeight="1" x14ac:dyDescent="0.25">
      <c r="B6" s="3" t="s">
        <v>1002</v>
      </c>
      <c r="D6" s="330">
        <f>'4b_Value_Pools_by_Capability'!$E$29</f>
        <v>49628021.44286444</v>
      </c>
    </row>
    <row r="7" spans="1:10" ht="18" customHeight="1" x14ac:dyDescent="0.25"/>
    <row r="8" spans="1:10" ht="24" customHeight="1" x14ac:dyDescent="0.25">
      <c r="A8" s="5"/>
      <c r="B8" s="1" t="s">
        <v>1003</v>
      </c>
      <c r="C8" s="5"/>
      <c r="D8" s="5"/>
      <c r="E8" s="5"/>
      <c r="F8" s="5"/>
      <c r="G8" s="5"/>
      <c r="H8" s="5"/>
      <c r="I8" s="5"/>
      <c r="J8" s="5"/>
    </row>
    <row r="9" spans="1:10" ht="18" customHeight="1" x14ac:dyDescent="0.25">
      <c r="B9" s="104" t="s">
        <v>1004</v>
      </c>
      <c r="C9" s="105" t="s">
        <v>1005</v>
      </c>
      <c r="D9" s="105" t="s">
        <v>1006</v>
      </c>
      <c r="E9" s="105" t="s">
        <v>1007</v>
      </c>
      <c r="F9" s="104" t="s">
        <v>1008</v>
      </c>
      <c r="G9" s="104" t="s">
        <v>1009</v>
      </c>
      <c r="H9" s="104" t="s">
        <v>1010</v>
      </c>
      <c r="I9" s="104" t="s">
        <v>1011</v>
      </c>
      <c r="J9" s="104" t="s">
        <v>1012</v>
      </c>
    </row>
    <row r="10" spans="1:10" ht="54" customHeight="1" x14ac:dyDescent="0.25">
      <c r="B10" s="76" t="s">
        <v>1013</v>
      </c>
      <c r="C10" s="236">
        <v>0.35</v>
      </c>
      <c r="D10" s="331">
        <v>5</v>
      </c>
      <c r="E10" s="82">
        <f>IFERROR(INDEX($F$26:$J$30,1,$D10),"")</f>
        <v>1</v>
      </c>
      <c r="F10" s="77" t="s">
        <v>1014</v>
      </c>
      <c r="G10" s="77" t="s">
        <v>1015</v>
      </c>
      <c r="H10" s="77" t="s">
        <v>1016</v>
      </c>
      <c r="I10" s="77" t="s">
        <v>1017</v>
      </c>
      <c r="J10" s="77" t="s">
        <v>1018</v>
      </c>
    </row>
    <row r="11" spans="1:10" ht="54" customHeight="1" x14ac:dyDescent="0.25">
      <c r="B11" s="97" t="s">
        <v>1019</v>
      </c>
      <c r="C11" s="102">
        <v>0.35</v>
      </c>
      <c r="D11" s="331">
        <v>3</v>
      </c>
      <c r="E11" s="118">
        <f>IFERROR(INDEX($F$26:$J$30,2,$D11),"")</f>
        <v>0.85</v>
      </c>
      <c r="F11" s="56" t="s">
        <v>1020</v>
      </c>
      <c r="G11" s="56" t="s">
        <v>1021</v>
      </c>
      <c r="H11" s="56" t="s">
        <v>1022</v>
      </c>
      <c r="I11" s="56" t="s">
        <v>1023</v>
      </c>
      <c r="J11" s="56" t="s">
        <v>1024</v>
      </c>
    </row>
    <row r="12" spans="1:10" ht="54" customHeight="1" x14ac:dyDescent="0.25">
      <c r="B12" s="76" t="s">
        <v>1025</v>
      </c>
      <c r="C12" s="236">
        <v>0.3</v>
      </c>
      <c r="D12" s="331">
        <v>4</v>
      </c>
      <c r="E12" s="82">
        <f>IFERROR(INDEX($F$26:$J$30,3,$D12),"")</f>
        <v>0.89</v>
      </c>
      <c r="F12" s="77" t="s">
        <v>1026</v>
      </c>
      <c r="G12" s="77" t="s">
        <v>1027</v>
      </c>
      <c r="H12" s="77" t="s">
        <v>1028</v>
      </c>
      <c r="I12" s="77" t="s">
        <v>1029</v>
      </c>
      <c r="J12" s="77" t="s">
        <v>1030</v>
      </c>
    </row>
    <row r="13" spans="1:10" ht="15" customHeight="1" x14ac:dyDescent="0.25">
      <c r="B13" s="97" t="s">
        <v>1031</v>
      </c>
      <c r="C13" s="9"/>
      <c r="D13" s="9"/>
      <c r="E13" s="332">
        <f>$E10^$C10*$E11^$C11*$E12^$C12</f>
        <v>0.91224948317820342</v>
      </c>
      <c r="F13" s="56" t="s">
        <v>1032</v>
      </c>
      <c r="G13" s="9"/>
      <c r="H13" s="9"/>
      <c r="I13" s="9"/>
      <c r="J13" s="9"/>
    </row>
    <row r="14" spans="1:10" ht="15" customHeight="1" x14ac:dyDescent="0.25">
      <c r="B14" s="56" t="s">
        <v>1033</v>
      </c>
      <c r="C14" s="9"/>
      <c r="D14" s="9"/>
      <c r="E14" s="333">
        <f>$D$6*$E$13</f>
        <v>45273136.912409887</v>
      </c>
      <c r="F14" s="9"/>
      <c r="G14" s="9"/>
      <c r="H14" s="9"/>
      <c r="I14" s="9"/>
      <c r="J14" s="9"/>
    </row>
    <row r="15" spans="1:10" ht="15" customHeight="1" x14ac:dyDescent="0.25">
      <c r="B15" s="56" t="s">
        <v>1034</v>
      </c>
      <c r="C15" s="9"/>
      <c r="D15" s="9"/>
      <c r="E15" s="334">
        <f>$E$13-1</f>
        <v>-8.7750516821796576E-2</v>
      </c>
      <c r="F15" s="9"/>
      <c r="G15" s="9"/>
      <c r="H15" s="9"/>
      <c r="I15" s="9"/>
      <c r="J15" s="9"/>
    </row>
    <row r="16" spans="1:10" ht="18" customHeight="1" x14ac:dyDescent="0.25"/>
    <row r="17" spans="1:10" ht="24" customHeight="1" x14ac:dyDescent="0.25">
      <c r="A17" s="5"/>
      <c r="B17" s="1" t="s">
        <v>1035</v>
      </c>
      <c r="C17" s="5"/>
      <c r="D17" s="5"/>
      <c r="E17" s="5"/>
      <c r="F17" s="5"/>
      <c r="G17" s="5"/>
      <c r="H17" s="5"/>
      <c r="I17" s="5"/>
      <c r="J17" s="5"/>
    </row>
    <row r="18" spans="1:10" ht="30" customHeight="1" x14ac:dyDescent="0.25">
      <c r="B18" s="127" t="s">
        <v>1004</v>
      </c>
      <c r="D18" s="128" t="s">
        <v>1006</v>
      </c>
      <c r="E18" s="128" t="s">
        <v>1007</v>
      </c>
      <c r="F18" s="127" t="s">
        <v>1008</v>
      </c>
      <c r="G18" s="127" t="s">
        <v>1009</v>
      </c>
      <c r="H18" s="127" t="s">
        <v>1010</v>
      </c>
      <c r="I18" s="127" t="s">
        <v>1011</v>
      </c>
      <c r="J18" s="127" t="s">
        <v>1012</v>
      </c>
    </row>
    <row r="19" spans="1:10" ht="54" customHeight="1" x14ac:dyDescent="0.25">
      <c r="B19" s="76" t="s">
        <v>1036</v>
      </c>
      <c r="C19" s="215"/>
      <c r="D19" s="331">
        <v>3</v>
      </c>
      <c r="E19" s="82">
        <f>IFERROR(INDEX($F$26:$J$30,4,$D19),"")</f>
        <v>0.75</v>
      </c>
      <c r="F19" s="77" t="s">
        <v>1037</v>
      </c>
      <c r="G19" s="77" t="s">
        <v>1038</v>
      </c>
      <c r="H19" s="77" t="s">
        <v>1039</v>
      </c>
      <c r="I19" s="77" t="s">
        <v>1040</v>
      </c>
      <c r="J19" s="77" t="s">
        <v>1041</v>
      </c>
    </row>
    <row r="20" spans="1:10" ht="54" customHeight="1" x14ac:dyDescent="0.25">
      <c r="B20" s="38" t="s">
        <v>1042</v>
      </c>
      <c r="C20" s="9"/>
      <c r="D20" s="335">
        <f>ROUND('2_Capability_Assessment'!$C$80/2,0)</f>
        <v>3</v>
      </c>
      <c r="E20" s="115">
        <f>IFERROR(INDEX($F$26:$J$30,5,$D20),"")</f>
        <v>0.75</v>
      </c>
      <c r="F20" s="58" t="s">
        <v>1043</v>
      </c>
      <c r="G20" s="58" t="s">
        <v>1044</v>
      </c>
      <c r="H20" s="58" t="s">
        <v>1045</v>
      </c>
      <c r="I20" s="58" t="s">
        <v>1046</v>
      </c>
      <c r="J20" s="58" t="s">
        <v>1047</v>
      </c>
    </row>
    <row r="21" spans="1:10" ht="15" customHeight="1" x14ac:dyDescent="0.25">
      <c r="B21" s="64" t="s">
        <v>1048</v>
      </c>
      <c r="E21" s="126">
        <f>1/(MAX($E19,0.1)^'7_Value_Timing'!$C$15*MAX($E20,0.1)^'7_Value_Timing'!$D$15)</f>
        <v>1.3333333333333333</v>
      </c>
      <c r="F21" s="3" t="s">
        <v>1049</v>
      </c>
    </row>
    <row r="22" spans="1:10" ht="15" customHeight="1" x14ac:dyDescent="0.25">
      <c r="B22" s="3" t="s">
        <v>1050</v>
      </c>
      <c r="E22" s="336">
        <f>MIN(1,'2_Capability_Assessment'!$C$80/7)</f>
        <v>0.95238095238095277</v>
      </c>
    </row>
    <row r="23" spans="1:10" ht="18" customHeight="1" x14ac:dyDescent="0.25"/>
    <row r="24" spans="1:10" ht="18" customHeight="1" x14ac:dyDescent="0.25"/>
    <row r="25" spans="1:10" ht="15" customHeight="1" x14ac:dyDescent="0.25">
      <c r="B25" s="64" t="s">
        <v>1051</v>
      </c>
      <c r="F25" s="3" t="s">
        <v>1052</v>
      </c>
      <c r="G25" s="3" t="s">
        <v>1009</v>
      </c>
      <c r="H25" s="3" t="s">
        <v>1010</v>
      </c>
      <c r="I25" s="3" t="s">
        <v>1011</v>
      </c>
      <c r="J25" s="3" t="s">
        <v>1053</v>
      </c>
    </row>
    <row r="26" spans="1:10" ht="15" customHeight="1" x14ac:dyDescent="0.25">
      <c r="B26" s="28" t="s">
        <v>1013</v>
      </c>
      <c r="C26" s="28" t="s">
        <v>1054</v>
      </c>
      <c r="F26" s="337">
        <v>0.75</v>
      </c>
      <c r="G26" s="337">
        <v>0.81</v>
      </c>
      <c r="H26" s="337">
        <v>0.88</v>
      </c>
      <c r="I26" s="337">
        <v>0.94</v>
      </c>
      <c r="J26" s="337">
        <v>1</v>
      </c>
    </row>
    <row r="27" spans="1:10" ht="15" customHeight="1" x14ac:dyDescent="0.25">
      <c r="B27" s="3" t="s">
        <v>1019</v>
      </c>
      <c r="C27" s="3" t="s">
        <v>1054</v>
      </c>
      <c r="F27" s="338">
        <v>0.7</v>
      </c>
      <c r="G27" s="338">
        <v>0.78</v>
      </c>
      <c r="H27" s="338">
        <v>0.85</v>
      </c>
      <c r="I27" s="338">
        <v>0.93</v>
      </c>
      <c r="J27" s="338">
        <v>1</v>
      </c>
    </row>
    <row r="28" spans="1:10" ht="15" customHeight="1" x14ac:dyDescent="0.25">
      <c r="B28" s="28" t="s">
        <v>1025</v>
      </c>
      <c r="C28" s="28" t="s">
        <v>1054</v>
      </c>
      <c r="F28" s="337">
        <v>0.55000000000000004</v>
      </c>
      <c r="G28" s="337">
        <v>0.66</v>
      </c>
      <c r="H28" s="337">
        <v>0.78</v>
      </c>
      <c r="I28" s="337">
        <v>0.89</v>
      </c>
      <c r="J28" s="337">
        <v>1</v>
      </c>
    </row>
    <row r="29" spans="1:10" ht="15" customHeight="1" x14ac:dyDescent="0.25">
      <c r="B29" s="3" t="s">
        <v>1036</v>
      </c>
      <c r="C29" s="3" t="s">
        <v>1055</v>
      </c>
      <c r="F29" s="338">
        <v>0.5</v>
      </c>
      <c r="G29" s="338">
        <v>0.63</v>
      </c>
      <c r="H29" s="338">
        <v>0.75</v>
      </c>
      <c r="I29" s="338">
        <v>0.88</v>
      </c>
      <c r="J29" s="338">
        <v>1</v>
      </c>
    </row>
    <row r="30" spans="1:10" ht="15" customHeight="1" x14ac:dyDescent="0.25">
      <c r="B30" s="28" t="s">
        <v>1042</v>
      </c>
      <c r="C30" s="28" t="s">
        <v>1055</v>
      </c>
      <c r="F30" s="337">
        <v>0.5</v>
      </c>
      <c r="G30" s="337">
        <v>0.63</v>
      </c>
      <c r="H30" s="337">
        <v>0.75</v>
      </c>
      <c r="I30" s="337">
        <v>0.88</v>
      </c>
      <c r="J30" s="337">
        <v>1</v>
      </c>
    </row>
    <row r="31" spans="1:10" ht="18" customHeight="1" x14ac:dyDescent="0.25"/>
    <row r="32" spans="1:10" ht="15" customHeight="1" x14ac:dyDescent="0.25">
      <c r="B32" s="3" t="s">
        <v>1056</v>
      </c>
    </row>
  </sheetData>
  <dataValidations count="1">
    <dataValidation type="list" allowBlank="1" sqref="D10:D12 D19:D20" xr:uid="{00000000-0002-0000-0700-000000000000}">
      <formula1>"1,2,3,4,5"</formula1>
      <formula2>0</formula2>
    </dataValidation>
  </dataValidations>
  <pageMargins left="0.75" right="0.75" top="1" bottom="1" header="0.511811023622047" footer="0.511811023622047"/>
  <pageSetup paperSize="9" fitToHeight="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A2540"/>
    <pageSetUpPr fitToPage="1"/>
  </sheetPr>
  <dimension ref="A1:K95"/>
  <sheetViews>
    <sheetView showGridLines="0" zoomScale="90" zoomScaleNormal="90" workbookViewId="0">
      <selection sqref="A1:G1"/>
    </sheetView>
  </sheetViews>
  <sheetFormatPr defaultColWidth="8.7109375" defaultRowHeight="15" x14ac:dyDescent="0.25"/>
  <cols>
    <col min="1" max="1" width="9" customWidth="1"/>
    <col min="2" max="2" width="34" customWidth="1"/>
    <col min="3" max="3" width="14" customWidth="1"/>
    <col min="4" max="6" width="12" customWidth="1"/>
    <col min="7" max="7" width="21.42578125" customWidth="1"/>
    <col min="8" max="9" width="52" customWidth="1"/>
    <col min="10" max="10" width="11" customWidth="1"/>
    <col min="11" max="11" width="30" customWidth="1"/>
  </cols>
  <sheetData>
    <row r="1" spans="1:11" ht="25.5" customHeight="1" x14ac:dyDescent="0.25">
      <c r="A1" s="499" t="s">
        <v>1057</v>
      </c>
      <c r="B1" s="499"/>
      <c r="C1" s="499"/>
      <c r="D1" s="499"/>
      <c r="E1" s="499"/>
      <c r="F1" s="499"/>
      <c r="G1" s="499"/>
    </row>
    <row r="2" spans="1:11" ht="30" customHeight="1" x14ac:dyDescent="0.25">
      <c r="A2" s="513" t="s">
        <v>1058</v>
      </c>
      <c r="B2" s="513"/>
      <c r="C2" s="513"/>
      <c r="D2" s="513"/>
      <c r="E2" s="513"/>
      <c r="F2" s="513"/>
      <c r="G2" s="513"/>
    </row>
    <row r="3" spans="1:11" ht="7.5" customHeight="1" x14ac:dyDescent="0.25"/>
    <row r="4" spans="1:11" ht="19.5" customHeight="1" x14ac:dyDescent="0.25">
      <c r="A4" s="501" t="s">
        <v>1059</v>
      </c>
      <c r="B4" s="501"/>
      <c r="C4" s="501"/>
      <c r="D4" s="501"/>
      <c r="E4" s="501"/>
      <c r="F4" s="501"/>
      <c r="G4" s="501"/>
      <c r="H4" s="5"/>
      <c r="I4" s="5"/>
      <c r="J4" s="5"/>
      <c r="K4" s="5"/>
    </row>
    <row r="5" spans="1:11" ht="15.75" customHeight="1" x14ac:dyDescent="0.25">
      <c r="B5" s="64" t="s">
        <v>18</v>
      </c>
      <c r="C5" s="339" t="str">
        <f>'4b_Value_Pools_by_Capability'!$D$4</f>
        <v>Vertical SaaS</v>
      </c>
      <c r="G5" s="3" t="s">
        <v>1060</v>
      </c>
    </row>
    <row r="6" spans="1:11" ht="15.75" customHeight="1" x14ac:dyDescent="0.25">
      <c r="B6" s="53" t="s">
        <v>1061</v>
      </c>
      <c r="C6" s="340">
        <f>'4b_Value_Pools_by_Capability'!$D$6</f>
        <v>1500000000</v>
      </c>
      <c r="G6" s="28" t="s">
        <v>1060</v>
      </c>
    </row>
    <row r="7" spans="1:11" ht="30" customHeight="1" x14ac:dyDescent="0.25">
      <c r="B7" s="64" t="s">
        <v>1042</v>
      </c>
      <c r="C7" s="158">
        <f>'5_Implementation_Feasibility'!$E$20</f>
        <v>0.75</v>
      </c>
      <c r="G7" s="3" t="str">
        <f>"Guidance only — no longer multiplies anything. A score of "&amp;TEXT(C7,"0.00")&amp;" means messier data, so scope more remediation months in Section A rather than applying a formula."</f>
        <v>Guidance only — no longer multiplies anything. A score of 0.75 means messier data, so scope more remediation months in Section A rather than applying a formula.</v>
      </c>
    </row>
    <row r="8" spans="1:11" ht="30" customHeight="1" x14ac:dyDescent="0.25">
      <c r="B8" s="53" t="s">
        <v>1036</v>
      </c>
      <c r="C8" s="341">
        <f>'5_Implementation_Feasibility'!$E$19</f>
        <v>0.75</v>
      </c>
      <c r="G8" s="28" t="str">
        <f>"Guidance only — no longer multiplies anything. A score of "&amp;TEXT(C8,"0.00")&amp;" means a harder rollout, so raise the change management cost per user in Section A."</f>
        <v>Guidance only — no longer multiplies anything. A score of 0.75 means a harder rollout, so raise the change management cost per user in Section A.</v>
      </c>
    </row>
    <row r="9" spans="1:11" ht="7.5" customHeight="1" x14ac:dyDescent="0.25"/>
    <row r="10" spans="1:11" ht="19.5" customHeight="1" x14ac:dyDescent="0.25">
      <c r="A10" s="1"/>
      <c r="B10" s="342" t="s">
        <v>1062</v>
      </c>
      <c r="C10" s="5"/>
      <c r="D10" s="5"/>
      <c r="E10" s="5"/>
      <c r="F10" s="5"/>
      <c r="G10" s="5"/>
      <c r="H10" s="5"/>
      <c r="I10" s="5"/>
      <c r="J10" s="5"/>
      <c r="K10" s="5"/>
    </row>
    <row r="11" spans="1:11" ht="18" customHeight="1" x14ac:dyDescent="0.25">
      <c r="B11" s="98" t="s">
        <v>1063</v>
      </c>
      <c r="C11" s="98" t="s">
        <v>39</v>
      </c>
      <c r="G11" s="343"/>
      <c r="H11" s="98" t="s">
        <v>1064</v>
      </c>
    </row>
    <row r="12" spans="1:11" ht="15.75" customHeight="1" x14ac:dyDescent="0.25">
      <c r="B12" s="28" t="s">
        <v>1065</v>
      </c>
      <c r="C12" s="344">
        <v>2700</v>
      </c>
      <c r="G12" s="345"/>
      <c r="H12" s="28" t="s">
        <v>1066</v>
      </c>
    </row>
    <row r="13" spans="1:11" ht="25.5" customHeight="1" x14ac:dyDescent="0.25">
      <c r="B13" s="3" t="s">
        <v>1067</v>
      </c>
      <c r="C13" s="344">
        <v>3000</v>
      </c>
      <c r="G13" s="346"/>
      <c r="H13" s="3" t="s">
        <v>1068</v>
      </c>
    </row>
    <row r="14" spans="1:11" ht="15.75" customHeight="1" x14ac:dyDescent="0.25">
      <c r="B14" s="28" t="s">
        <v>1069</v>
      </c>
      <c r="C14" s="253">
        <v>15000</v>
      </c>
      <c r="G14" s="345"/>
      <c r="H14" s="28" t="s">
        <v>1070</v>
      </c>
    </row>
    <row r="15" spans="1:11" ht="15.75" customHeight="1" x14ac:dyDescent="0.25">
      <c r="B15" s="3" t="s">
        <v>1071</v>
      </c>
      <c r="C15" s="347">
        <v>16</v>
      </c>
      <c r="G15" s="345"/>
      <c r="H15" s="3" t="s">
        <v>1072</v>
      </c>
    </row>
    <row r="16" spans="1:11" ht="15.75" customHeight="1" x14ac:dyDescent="0.25">
      <c r="B16" s="28" t="s">
        <v>1073</v>
      </c>
      <c r="C16" s="347">
        <v>11</v>
      </c>
      <c r="G16" s="345"/>
      <c r="H16" s="28" t="s">
        <v>1074</v>
      </c>
    </row>
    <row r="17" spans="1:11" ht="15.75" customHeight="1" x14ac:dyDescent="0.25">
      <c r="B17" s="3" t="s">
        <v>1075</v>
      </c>
      <c r="C17" s="347">
        <v>14</v>
      </c>
      <c r="G17" s="345"/>
      <c r="H17" s="3" t="s">
        <v>1076</v>
      </c>
    </row>
    <row r="18" spans="1:11" ht="15.75" customHeight="1" x14ac:dyDescent="0.25">
      <c r="B18" s="3" t="s">
        <v>1077</v>
      </c>
      <c r="C18" s="347">
        <v>12</v>
      </c>
      <c r="G18" s="345"/>
      <c r="H18" s="191"/>
    </row>
    <row r="19" spans="1:11" ht="25.5" customHeight="1" x14ac:dyDescent="0.25">
      <c r="B19" s="3" t="s">
        <v>1078</v>
      </c>
      <c r="C19" s="253">
        <v>1140000</v>
      </c>
      <c r="G19" s="345"/>
      <c r="H19" s="3" t="s">
        <v>1079</v>
      </c>
    </row>
    <row r="20" spans="1:11" ht="30" customHeight="1" x14ac:dyDescent="0.25">
      <c r="B20" s="28" t="s">
        <v>1080</v>
      </c>
      <c r="C20" s="253">
        <v>400</v>
      </c>
      <c r="H20" s="28" t="s">
        <v>1081</v>
      </c>
    </row>
    <row r="21" spans="1:11" ht="6" customHeight="1" x14ac:dyDescent="0.25">
      <c r="A21" s="1"/>
      <c r="B21" s="5"/>
      <c r="C21" s="5"/>
      <c r="D21" s="5"/>
      <c r="E21" s="5"/>
      <c r="F21" s="5"/>
      <c r="G21" s="5"/>
      <c r="H21" s="5"/>
      <c r="I21" s="5"/>
      <c r="J21" s="5"/>
      <c r="K21" s="5"/>
    </row>
    <row r="22" spans="1:11" ht="19.5" customHeight="1" x14ac:dyDescent="0.25">
      <c r="A22" s="5"/>
      <c r="B22" s="342" t="s">
        <v>1082</v>
      </c>
      <c r="C22" s="348"/>
      <c r="D22" s="348"/>
      <c r="E22" s="348"/>
      <c r="F22" s="348"/>
      <c r="G22" s="348"/>
      <c r="H22" s="5"/>
      <c r="I22" s="5"/>
      <c r="J22" s="5"/>
      <c r="K22" s="5"/>
    </row>
    <row r="23" spans="1:11" ht="19.5" customHeight="1" x14ac:dyDescent="0.25">
      <c r="B23" s="104" t="s">
        <v>1083</v>
      </c>
      <c r="C23" s="349" t="s">
        <v>43</v>
      </c>
      <c r="D23" s="350" t="s">
        <v>1084</v>
      </c>
      <c r="E23" s="351" t="s">
        <v>1085</v>
      </c>
      <c r="F23" s="350" t="s">
        <v>1086</v>
      </c>
      <c r="G23" s="346"/>
      <c r="H23" s="104" t="s">
        <v>1087</v>
      </c>
    </row>
    <row r="24" spans="1:11" ht="31.5" customHeight="1" x14ac:dyDescent="0.25">
      <c r="B24" s="38" t="s">
        <v>1088</v>
      </c>
      <c r="C24" s="349">
        <f>$E24+$F24</f>
        <v>3223255.8139534881</v>
      </c>
      <c r="D24" s="227">
        <f>IFERROR($C24/$C$27,0)</f>
        <v>0.42976744186046506</v>
      </c>
      <c r="E24" s="352">
        <f>$C$15*$C$16*$C$14</f>
        <v>2640000</v>
      </c>
      <c r="F24" s="352">
        <f>$C$19*($E24/($E24+$E25))</f>
        <v>583255.81395348837</v>
      </c>
      <c r="G24" s="353"/>
      <c r="H24" s="58" t="s">
        <v>1089</v>
      </c>
    </row>
    <row r="25" spans="1:11" ht="31.5" customHeight="1" x14ac:dyDescent="0.25">
      <c r="B25" s="97" t="s">
        <v>1090</v>
      </c>
      <c r="C25" s="354">
        <f>$E25+$F25</f>
        <v>3076744.1860465119</v>
      </c>
      <c r="D25" s="355">
        <f>IFERROR($C25/$C$27,0)</f>
        <v>0.41023255813953491</v>
      </c>
      <c r="E25" s="356">
        <f>$C$17*$C$18*$C$14</f>
        <v>2520000</v>
      </c>
      <c r="F25" s="356">
        <f>$C$19*($E25/($E24+$E25))</f>
        <v>556744.18604651163</v>
      </c>
      <c r="G25" s="357"/>
      <c r="H25" s="56" t="s">
        <v>1091</v>
      </c>
    </row>
    <row r="26" spans="1:11" ht="31.5" customHeight="1" x14ac:dyDescent="0.25">
      <c r="A26" s="176"/>
      <c r="B26" s="38" t="s">
        <v>1092</v>
      </c>
      <c r="C26" s="358">
        <f>$E26+$F26</f>
        <v>1200000</v>
      </c>
      <c r="D26" s="261">
        <f>IFERROR($C26/$C$27,0)</f>
        <v>0.16</v>
      </c>
      <c r="E26" s="352">
        <f>$C$13*$C$20</f>
        <v>1200000</v>
      </c>
      <c r="F26" s="352">
        <v>0</v>
      </c>
      <c r="G26" s="359"/>
      <c r="H26" s="58" t="s">
        <v>1093</v>
      </c>
    </row>
    <row r="27" spans="1:11" ht="18" customHeight="1" x14ac:dyDescent="0.25">
      <c r="B27" s="133" t="s">
        <v>1094</v>
      </c>
      <c r="C27" s="360">
        <f>SUM(C24:C26)</f>
        <v>7500000</v>
      </c>
      <c r="D27" s="361">
        <f>SUM(D24:D26)</f>
        <v>1</v>
      </c>
      <c r="E27" s="360">
        <f>SUM(E24:E26)</f>
        <v>6360000</v>
      </c>
      <c r="F27" s="242">
        <f>SUM(F24:F26)</f>
        <v>1140000</v>
      </c>
    </row>
    <row r="28" spans="1:11" ht="15.75" customHeight="1" x14ac:dyDescent="0.25">
      <c r="B28" s="3" t="s">
        <v>1095</v>
      </c>
      <c r="C28" s="362">
        <f>$C$27/$C$6</f>
        <v>5.0000000000000001E-3</v>
      </c>
      <c r="E28" s="363"/>
      <c r="G28" s="364"/>
    </row>
    <row r="29" spans="1:11" ht="15.75" customHeight="1" x14ac:dyDescent="0.25">
      <c r="B29" s="3" t="s">
        <v>1096</v>
      </c>
      <c r="C29" s="365">
        <f>$C$27/$C$13</f>
        <v>2500</v>
      </c>
      <c r="E29" s="366"/>
      <c r="F29" s="367"/>
      <c r="G29" s="345"/>
    </row>
    <row r="30" spans="1:11" ht="15.75" customHeight="1" x14ac:dyDescent="0.25">
      <c r="B30" s="3" t="s">
        <v>1097</v>
      </c>
      <c r="C30" s="368">
        <f>MAX($C$16,$C$18)</f>
        <v>12</v>
      </c>
    </row>
    <row r="31" spans="1:11" ht="6" customHeight="1" x14ac:dyDescent="0.25">
      <c r="A31" s="1"/>
      <c r="B31" s="5"/>
      <c r="C31" s="5"/>
      <c r="D31" s="5"/>
      <c r="E31" s="5"/>
      <c r="F31" s="5"/>
      <c r="G31" s="5"/>
      <c r="H31" s="5"/>
      <c r="I31" s="5"/>
      <c r="J31" s="5"/>
      <c r="K31" s="5"/>
    </row>
    <row r="32" spans="1:11" ht="19.5" customHeight="1" x14ac:dyDescent="0.25">
      <c r="A32" s="5"/>
      <c r="B32" s="342" t="s">
        <v>1098</v>
      </c>
      <c r="C32" s="348"/>
      <c r="D32" s="5"/>
      <c r="E32" s="348"/>
      <c r="F32" s="5"/>
      <c r="G32" s="348"/>
      <c r="H32" s="5"/>
      <c r="I32" s="5"/>
      <c r="J32" s="5"/>
      <c r="K32" s="5"/>
    </row>
    <row r="33" spans="1:11" ht="19.5" customHeight="1" x14ac:dyDescent="0.25">
      <c r="B33" s="98" t="s">
        <v>494</v>
      </c>
      <c r="C33" s="350" t="s">
        <v>1099</v>
      </c>
      <c r="E33" s="105" t="s">
        <v>1100</v>
      </c>
      <c r="G33" s="364"/>
      <c r="H33" s="98" t="s">
        <v>1101</v>
      </c>
    </row>
    <row r="34" spans="1:11" ht="25.5" customHeight="1" x14ac:dyDescent="0.25">
      <c r="B34" s="58" t="s">
        <v>1102</v>
      </c>
      <c r="C34" s="261">
        <f>$D$24</f>
        <v>0.42976744186046506</v>
      </c>
      <c r="D34" s="9"/>
      <c r="E34" s="335" t="s">
        <v>1103</v>
      </c>
      <c r="F34" s="9"/>
      <c r="G34" s="357"/>
      <c r="H34" s="58" t="str">
        <f>IF(AND($C$34&gt;=0.3,$C$34&lt;=0.5),"IN RANGE","OUTSIDE RANGE")&amp;" — data preparation is consistently the largest workstream."</f>
        <v>IN RANGE — data preparation is consistently the largest workstream.</v>
      </c>
    </row>
    <row r="35" spans="1:11" ht="25.5" customHeight="1" x14ac:dyDescent="0.25">
      <c r="B35" s="56" t="s">
        <v>1104</v>
      </c>
      <c r="C35" s="369">
        <f>$E$27/$C$27</f>
        <v>0.84799999999999998</v>
      </c>
      <c r="D35" s="9"/>
      <c r="E35" s="41" t="s">
        <v>1105</v>
      </c>
      <c r="F35" s="9"/>
      <c r="G35" s="9"/>
      <c r="H35" s="56" t="str">
        <f>IF(AND($C$35&gt;=0.4,$C$35&lt;=0.6),"IN RANGE","OUTSIDE RANGE")&amp;" — a people-heavy build is expected where the work is remediation rather than licence purchase."</f>
        <v>OUTSIDE RANGE — a people-heavy build is expected where the work is remediation rather than licence purchase.</v>
      </c>
    </row>
    <row r="36" spans="1:11" ht="33.75" customHeight="1" x14ac:dyDescent="0.25">
      <c r="A36" s="176"/>
      <c r="B36" s="53" t="s">
        <v>1106</v>
      </c>
      <c r="C36" s="176"/>
      <c r="D36" s="176"/>
      <c r="E36" s="340">
        <f>'5_Implementation_Feasibility'!$E$14</f>
        <v>45273136.912409887</v>
      </c>
      <c r="F36" s="176"/>
      <c r="G36" s="53" t="s">
        <v>1107</v>
      </c>
    </row>
    <row r="37" spans="1:11" ht="18" customHeight="1" x14ac:dyDescent="0.25"/>
    <row r="38" spans="1:11" ht="30" customHeight="1" x14ac:dyDescent="0.25">
      <c r="A38" s="512" t="s">
        <v>1108</v>
      </c>
      <c r="B38" s="512"/>
      <c r="C38" s="512"/>
      <c r="D38" s="512"/>
      <c r="E38" s="512"/>
      <c r="F38" s="512"/>
      <c r="G38" s="512"/>
    </row>
    <row r="39" spans="1:11" ht="18" customHeight="1" x14ac:dyDescent="0.25"/>
    <row r="40" spans="1:11" ht="19.5" customHeight="1" x14ac:dyDescent="0.25">
      <c r="A40" s="1"/>
      <c r="B40" s="342" t="s">
        <v>1109</v>
      </c>
      <c r="C40" s="5"/>
      <c r="D40" s="5"/>
      <c r="E40" s="5"/>
      <c r="F40" s="5"/>
      <c r="G40" s="5"/>
      <c r="H40" s="5"/>
      <c r="I40" s="5"/>
      <c r="J40" s="5"/>
      <c r="K40" s="5"/>
    </row>
    <row r="41" spans="1:11" ht="30" customHeight="1" x14ac:dyDescent="0.25">
      <c r="A41" s="512" t="s">
        <v>1110</v>
      </c>
      <c r="B41" s="512"/>
      <c r="C41" s="512"/>
      <c r="D41" s="512"/>
      <c r="E41" s="512"/>
      <c r="F41" s="512"/>
      <c r="G41" s="512"/>
    </row>
    <row r="42" spans="1:11" ht="18" customHeight="1" x14ac:dyDescent="0.25"/>
    <row r="43" spans="1:11" ht="19.5" customHeight="1" x14ac:dyDescent="0.25">
      <c r="B43" s="76" t="s">
        <v>1111</v>
      </c>
      <c r="C43" s="76" t="s">
        <v>1112</v>
      </c>
      <c r="D43" s="76" t="s">
        <v>1113</v>
      </c>
      <c r="G43" s="76" t="s">
        <v>1114</v>
      </c>
    </row>
    <row r="44" spans="1:11" ht="25.5" customHeight="1" x14ac:dyDescent="0.25">
      <c r="B44" s="28" t="s">
        <v>1115</v>
      </c>
      <c r="C44" s="370">
        <v>1300000</v>
      </c>
      <c r="D44" s="371">
        <f>IF($C$6=0,0,C44/$C$6)</f>
        <v>8.6666666666666663E-4</v>
      </c>
      <c r="G44" s="28" t="s">
        <v>1116</v>
      </c>
    </row>
    <row r="45" spans="1:11" ht="25.5" customHeight="1" x14ac:dyDescent="0.25">
      <c r="B45" s="3" t="s">
        <v>1117</v>
      </c>
      <c r="C45" s="370">
        <v>700000</v>
      </c>
      <c r="D45" s="372">
        <f>IF($C$6=0,0,C45/$C$6)</f>
        <v>4.6666666666666666E-4</v>
      </c>
      <c r="G45" s="3" t="s">
        <v>1118</v>
      </c>
    </row>
    <row r="46" spans="1:11" ht="25.5" customHeight="1" x14ac:dyDescent="0.25">
      <c r="B46" s="28" t="s">
        <v>1119</v>
      </c>
      <c r="C46" s="370">
        <v>350000</v>
      </c>
      <c r="D46" s="371">
        <f>IF($C$6=0,0,C46/$C$6)</f>
        <v>2.3333333333333333E-4</v>
      </c>
      <c r="G46" s="28" t="s">
        <v>1120</v>
      </c>
    </row>
    <row r="47" spans="1:11" ht="25.5" customHeight="1" x14ac:dyDescent="0.25">
      <c r="B47" s="3" t="s">
        <v>1121</v>
      </c>
      <c r="C47" s="370">
        <v>150000</v>
      </c>
      <c r="D47" s="372">
        <f>IF($C$6=0,0,C47/$C$6)</f>
        <v>1E-4</v>
      </c>
      <c r="G47" s="3" t="s">
        <v>1122</v>
      </c>
    </row>
    <row r="48" spans="1:11" ht="30" customHeight="1" x14ac:dyDescent="0.25">
      <c r="B48" s="53" t="s">
        <v>1123</v>
      </c>
      <c r="C48" s="373">
        <f>SUM(C44:C47)</f>
        <v>2500000</v>
      </c>
      <c r="D48" s="371">
        <f>IF($C$6=0,0,C48/$C$6)</f>
        <v>1.6666666666666668E-3</v>
      </c>
      <c r="G48" s="28" t="s">
        <v>1124</v>
      </c>
    </row>
    <row r="49" spans="1:11" ht="25.5" customHeight="1" x14ac:dyDescent="0.25">
      <c r="B49" s="3" t="s">
        <v>1125</v>
      </c>
      <c r="C49" s="374">
        <f>IF($C$26=0,0,C48/$C$26)</f>
        <v>2.0833333333333335</v>
      </c>
      <c r="G49" s="3" t="s">
        <v>1126</v>
      </c>
    </row>
    <row r="50" spans="1:11" ht="15.75" customHeight="1" x14ac:dyDescent="0.25">
      <c r="B50" s="3" t="s">
        <v>1127</v>
      </c>
      <c r="C50" s="511" t="str">
        <f>IF(C48=0,"NOT SET — the cost model is incomplete and tab 8 understates cost","Set")</f>
        <v>Set</v>
      </c>
      <c r="D50" s="511"/>
      <c r="E50" s="511"/>
    </row>
    <row r="51" spans="1:11" ht="18" customHeight="1" x14ac:dyDescent="0.25"/>
    <row r="52" spans="1:11" ht="19.5" customHeight="1" x14ac:dyDescent="0.25">
      <c r="A52" s="1"/>
      <c r="B52" s="342" t="s">
        <v>1128</v>
      </c>
      <c r="C52" s="5"/>
      <c r="D52" s="5"/>
      <c r="E52" s="5"/>
      <c r="F52" s="5"/>
      <c r="G52" s="5"/>
      <c r="H52" s="5"/>
      <c r="I52" s="5"/>
      <c r="J52" s="5"/>
      <c r="K52" s="5"/>
    </row>
    <row r="53" spans="1:11" ht="30" customHeight="1" x14ac:dyDescent="0.25">
      <c r="A53" s="512" t="s">
        <v>1129</v>
      </c>
      <c r="B53" s="512"/>
      <c r="C53" s="512"/>
      <c r="D53" s="512"/>
      <c r="E53" s="512"/>
      <c r="F53" s="512"/>
      <c r="G53" s="512"/>
    </row>
    <row r="54" spans="1:11" ht="18" customHeight="1" x14ac:dyDescent="0.25"/>
    <row r="55" spans="1:11" ht="15.75" customHeight="1" x14ac:dyDescent="0.25">
      <c r="B55" s="3" t="s">
        <v>1130</v>
      </c>
      <c r="C55" s="375">
        <v>5</v>
      </c>
      <c r="G55" s="3" t="s">
        <v>1131</v>
      </c>
    </row>
    <row r="56" spans="1:11" ht="25.5" customHeight="1" x14ac:dyDescent="0.25">
      <c r="B56" s="28" t="s">
        <v>1132</v>
      </c>
      <c r="C56" s="376">
        <v>0.1</v>
      </c>
      <c r="G56" s="28" t="s">
        <v>1133</v>
      </c>
    </row>
    <row r="57" spans="1:11" ht="18" customHeight="1" x14ac:dyDescent="0.25"/>
    <row r="58" spans="1:11" ht="18" customHeight="1" x14ac:dyDescent="0.25">
      <c r="B58" s="76" t="s">
        <v>1134</v>
      </c>
      <c r="C58" s="76" t="s">
        <v>1135</v>
      </c>
      <c r="D58" s="76" t="s">
        <v>1136</v>
      </c>
      <c r="E58" s="76" t="s">
        <v>1137</v>
      </c>
      <c r="F58" s="76" t="s">
        <v>1138</v>
      </c>
    </row>
    <row r="59" spans="1:11" ht="13.5" customHeight="1" x14ac:dyDescent="0.25">
      <c r="B59" s="79">
        <v>1</v>
      </c>
      <c r="C59" s="377">
        <f>IF(B59&lt;=ROUNDUP($C$30/12,0),$C$27/ROUNDUP($C$30/12,0),0)</f>
        <v>7500000</v>
      </c>
      <c r="D59" s="377">
        <f>IF(1&lt;=$C$55,$C$48,0)</f>
        <v>2500000</v>
      </c>
      <c r="E59" s="377">
        <f>C59+D59</f>
        <v>10000000</v>
      </c>
      <c r="F59" s="377">
        <f>E59/(1+$C$56)^1</f>
        <v>9090909.0909090899</v>
      </c>
    </row>
    <row r="60" spans="1:11" ht="13.5" customHeight="1" x14ac:dyDescent="0.25">
      <c r="B60" s="75">
        <v>2</v>
      </c>
      <c r="C60" s="378">
        <f>IF(B60&lt;=ROUNDUP($C$30/12,0),$C$27/ROUNDUP($C$30/12,0),0)</f>
        <v>0</v>
      </c>
      <c r="D60" s="378">
        <f>IF(2&lt;=$C$55,$C$48,0)</f>
        <v>2500000</v>
      </c>
      <c r="E60" s="378">
        <f>C60+D60</f>
        <v>2500000</v>
      </c>
      <c r="F60" s="378">
        <f>E60/(1+$C$56)^2</f>
        <v>2066115.7024793385</v>
      </c>
    </row>
    <row r="61" spans="1:11" ht="13.5" customHeight="1" x14ac:dyDescent="0.25">
      <c r="B61" s="79">
        <v>3</v>
      </c>
      <c r="C61" s="377">
        <f>IF(B61&lt;=ROUNDUP($C$30/12,0),$C$27/ROUNDUP($C$30/12,0),0)</f>
        <v>0</v>
      </c>
      <c r="D61" s="377">
        <f>IF(3&lt;=$C$55,$C$48,0)</f>
        <v>2500000</v>
      </c>
      <c r="E61" s="377">
        <f>C61+D61</f>
        <v>2500000</v>
      </c>
      <c r="F61" s="377">
        <f>E61/(1+$C$56)^3</f>
        <v>1878287.0022539438</v>
      </c>
    </row>
    <row r="62" spans="1:11" ht="13.5" customHeight="1" x14ac:dyDescent="0.25">
      <c r="B62" s="75">
        <v>4</v>
      </c>
      <c r="C62" s="378">
        <f>IF(B62&lt;=ROUNDUP($C$30/12,0),$C$27/ROUNDUP($C$30/12,0),0)</f>
        <v>0</v>
      </c>
      <c r="D62" s="378">
        <f>IF(4&lt;=$C$55,$C$48,0)</f>
        <v>2500000</v>
      </c>
      <c r="E62" s="378">
        <f>C62+D62</f>
        <v>2500000</v>
      </c>
      <c r="F62" s="378">
        <f>E62/(1+$C$56)^4</f>
        <v>1707533.6384126763</v>
      </c>
    </row>
    <row r="63" spans="1:11" ht="13.5" customHeight="1" x14ac:dyDescent="0.25">
      <c r="B63" s="79">
        <v>5</v>
      </c>
      <c r="C63" s="377">
        <f>IF(B63&lt;=ROUNDUP($C$30/12,0),$C$27/ROUNDUP($C$30/12,0),0)</f>
        <v>0</v>
      </c>
      <c r="D63" s="377">
        <f>IF(5&lt;=$C$55,$C$48,0)</f>
        <v>2500000</v>
      </c>
      <c r="E63" s="377">
        <f>C63+D63</f>
        <v>2500000</v>
      </c>
      <c r="F63" s="377">
        <f>E63/(1+$C$56)^5</f>
        <v>1552303.3076478874</v>
      </c>
    </row>
    <row r="64" spans="1:11" ht="19.5" customHeight="1" x14ac:dyDescent="0.25">
      <c r="B64" s="53" t="s">
        <v>1139</v>
      </c>
      <c r="C64" s="373">
        <f>SUM(F59:F63)</f>
        <v>16295148.741702937</v>
      </c>
      <c r="G64" s="28" t="s">
        <v>1140</v>
      </c>
    </row>
    <row r="65" spans="1:11" ht="19.5" customHeight="1" x14ac:dyDescent="0.25">
      <c r="B65" s="3" t="s">
        <v>1141</v>
      </c>
      <c r="C65" s="377">
        <f>SUM(E59:E63)</f>
        <v>20000000</v>
      </c>
      <c r="G65" s="3" t="s">
        <v>1142</v>
      </c>
    </row>
    <row r="66" spans="1:11" ht="18" customHeight="1" x14ac:dyDescent="0.25"/>
    <row r="67" spans="1:11" ht="19.5" customHeight="1" x14ac:dyDescent="0.25">
      <c r="A67" s="64"/>
      <c r="B67" s="379" t="s">
        <v>1143</v>
      </c>
    </row>
    <row r="68" spans="1:11" ht="25.5" customHeight="1" x14ac:dyDescent="0.25">
      <c r="B68" s="28" t="s">
        <v>1144</v>
      </c>
      <c r="C68" s="378">
        <f>$C$6*0.012</f>
        <v>18000000</v>
      </c>
      <c r="G68" s="28" t="s">
        <v>1145</v>
      </c>
    </row>
    <row r="69" spans="1:11" ht="30" customHeight="1" x14ac:dyDescent="0.25">
      <c r="B69" s="3" t="s">
        <v>1146</v>
      </c>
      <c r="C69" s="380">
        <f>IF(C68=0,0,C65/C68)</f>
        <v>1.1111111111111112</v>
      </c>
      <c r="G69" s="3" t="s">
        <v>1147</v>
      </c>
    </row>
    <row r="70" spans="1:11" ht="18" customHeight="1" x14ac:dyDescent="0.25"/>
    <row r="71" spans="1:11" ht="30" customHeight="1" x14ac:dyDescent="0.25">
      <c r="B71" s="3" t="s">
        <v>1148</v>
      </c>
      <c r="C71" s="498" t="s">
        <v>1149</v>
      </c>
      <c r="D71" s="498"/>
      <c r="E71" s="498"/>
      <c r="F71" s="498"/>
      <c r="G71" s="498"/>
    </row>
    <row r="72" spans="1:11" ht="18" customHeight="1" x14ac:dyDescent="0.25"/>
    <row r="73" spans="1:11" ht="18" customHeight="1" x14ac:dyDescent="0.25"/>
    <row r="74" spans="1:11" ht="19.5" customHeight="1" x14ac:dyDescent="0.25">
      <c r="A74" s="5"/>
      <c r="B74" s="342" t="s">
        <v>1150</v>
      </c>
      <c r="C74" s="5"/>
      <c r="D74" s="5"/>
      <c r="E74" s="5"/>
      <c r="F74" s="5"/>
      <c r="G74" s="5"/>
      <c r="H74" s="5"/>
      <c r="I74" s="5"/>
      <c r="J74" s="5"/>
      <c r="K74" s="5"/>
    </row>
    <row r="75" spans="1:11" ht="30" customHeight="1" x14ac:dyDescent="0.25">
      <c r="B75" s="3" t="s">
        <v>1151</v>
      </c>
    </row>
    <row r="76" spans="1:11" ht="18" customHeight="1" x14ac:dyDescent="0.25"/>
    <row r="77" spans="1:11" ht="25.5" customHeight="1" x14ac:dyDescent="0.25">
      <c r="B77" s="104" t="s">
        <v>896</v>
      </c>
      <c r="C77" s="105" t="s">
        <v>1152</v>
      </c>
      <c r="D77" s="105" t="s">
        <v>1153</v>
      </c>
      <c r="E77" s="105" t="s">
        <v>1154</v>
      </c>
      <c r="F77" s="105" t="s">
        <v>1155</v>
      </c>
      <c r="G77" s="105" t="s">
        <v>1156</v>
      </c>
      <c r="H77" s="105" t="s">
        <v>1157</v>
      </c>
      <c r="I77" s="105" t="s">
        <v>1158</v>
      </c>
      <c r="J77" s="105" t="s">
        <v>1159</v>
      </c>
      <c r="K77" s="104" t="s">
        <v>1160</v>
      </c>
    </row>
    <row r="78" spans="1:11" ht="21.75" customHeight="1" x14ac:dyDescent="0.25">
      <c r="B78" s="76" t="s">
        <v>127</v>
      </c>
      <c r="C78" s="381">
        <f>COUNTIF('2_Capability_Assessment'!$B$6:$B$41,$B78)</f>
        <v>5</v>
      </c>
      <c r="D78" s="231">
        <f>IFERROR('4b_Value_Pools_by_Capability'!$AB$15/SUM('4b_Value_Pools_by_Capability'!$AB$15:$AB$24),0)</f>
        <v>0.44114591907126577</v>
      </c>
      <c r="E78" s="258">
        <f t="shared" ref="E78:E87" si="0">$C$27*$D78</f>
        <v>3308594.3930344931</v>
      </c>
      <c r="F78" s="258">
        <f t="shared" ref="F78:F87" si="1">$C$48*$D78</f>
        <v>1102864.7976781644</v>
      </c>
      <c r="G78" s="258">
        <f t="shared" ref="G78:G87" si="2">$E78+$F78*$C$55</f>
        <v>8822918.3814253155</v>
      </c>
      <c r="H78" s="258">
        <f>'4b_Value_Pools_by_Capability'!$AB$15</f>
        <v>19168731.531013358</v>
      </c>
      <c r="I78" s="382">
        <f t="shared" ref="I78:I87" si="3">$H78-$F78</f>
        <v>18065866.733335193</v>
      </c>
      <c r="J78" s="383">
        <f t="shared" ref="J78:J87" si="4">IFERROR(IF($I78&lt;=0,"never",$E78/$I78),"")</f>
        <v>0.18314063985258258</v>
      </c>
      <c r="K78" s="77" t="str">
        <f t="shared" ref="K78:K87" si="5">IF($H78=0,"no pool — not funded",IF($I78&lt;=0,"operating cost exceeds the pool",IF($E78/$I78&lt;=1,"pays back inside a year",IF($E78/$I78&lt;=3,"pays back inside the hold","does not pay back in the hold"))))</f>
        <v>pays back inside a year</v>
      </c>
    </row>
    <row r="79" spans="1:11" ht="21.75" customHeight="1" x14ac:dyDescent="0.25">
      <c r="B79" s="97" t="s">
        <v>158</v>
      </c>
      <c r="C79" s="120">
        <f>COUNTIF('2_Capability_Assessment'!$B$6:$B$41,$B79)</f>
        <v>2</v>
      </c>
      <c r="D79" s="355">
        <f>IFERROR('4b_Value_Pools_by_Capability'!$AB$16/SUM('4b_Value_Pools_by_Capability'!$AB$15:$AB$24),0)</f>
        <v>0.14247013605145026</v>
      </c>
      <c r="E79" s="384">
        <f t="shared" si="0"/>
        <v>1068526.020385877</v>
      </c>
      <c r="F79" s="384">
        <f t="shared" si="1"/>
        <v>356175.34012862563</v>
      </c>
      <c r="G79" s="384">
        <f t="shared" si="2"/>
        <v>2849402.721029005</v>
      </c>
      <c r="H79" s="384">
        <f>'4b_Value_Pools_by_Capability'!$AB$16</f>
        <v>6190631.4239665847</v>
      </c>
      <c r="I79" s="243">
        <f t="shared" si="3"/>
        <v>5834456.083837959</v>
      </c>
      <c r="J79" s="112">
        <f t="shared" si="4"/>
        <v>0.18314063985258258</v>
      </c>
      <c r="K79" s="56" t="str">
        <f t="shared" si="5"/>
        <v>pays back inside a year</v>
      </c>
    </row>
    <row r="80" spans="1:11" ht="21.75" customHeight="1" x14ac:dyDescent="0.25">
      <c r="B80" s="76" t="s">
        <v>189</v>
      </c>
      <c r="C80" s="381">
        <f>COUNTIF('2_Capability_Assessment'!$B$6:$B$41,$B80)</f>
        <v>5</v>
      </c>
      <c r="D80" s="231">
        <f>IFERROR('4b_Value_Pools_by_Capability'!$AB$17/SUM('4b_Value_Pools_by_Capability'!$AB$15:$AB$24),0)</f>
        <v>7.8863608947821198E-2</v>
      </c>
      <c r="E80" s="258">
        <f t="shared" si="0"/>
        <v>591477.06710865896</v>
      </c>
      <c r="F80" s="258">
        <f t="shared" si="1"/>
        <v>197159.02236955299</v>
      </c>
      <c r="G80" s="258">
        <f t="shared" si="2"/>
        <v>1577272.1789564239</v>
      </c>
      <c r="H80" s="258">
        <f>'4b_Value_Pools_by_Capability'!$AB$17</f>
        <v>3426792.0933513036</v>
      </c>
      <c r="I80" s="382">
        <f t="shared" si="3"/>
        <v>3229633.0709817507</v>
      </c>
      <c r="J80" s="383">
        <f t="shared" si="4"/>
        <v>0.18314063985258255</v>
      </c>
      <c r="K80" s="77" t="str">
        <f t="shared" si="5"/>
        <v>pays back inside a year</v>
      </c>
    </row>
    <row r="81" spans="2:11" ht="21.75" customHeight="1" x14ac:dyDescent="0.25">
      <c r="B81" s="97" t="s">
        <v>220</v>
      </c>
      <c r="C81" s="120">
        <f>COUNTIF('2_Capability_Assessment'!$B$6:$B$41,$B81)</f>
        <v>4</v>
      </c>
      <c r="D81" s="355">
        <f>IFERROR('4b_Value_Pools_by_Capability'!$AB$18/SUM('4b_Value_Pools_by_Capability'!$AB$15:$AB$24),0)</f>
        <v>5.2338645377059595E-2</v>
      </c>
      <c r="E81" s="384">
        <f t="shared" si="0"/>
        <v>392539.84032794693</v>
      </c>
      <c r="F81" s="384">
        <f t="shared" si="1"/>
        <v>130846.61344264899</v>
      </c>
      <c r="G81" s="384">
        <f t="shared" si="2"/>
        <v>1046772.9075411919</v>
      </c>
      <c r="H81" s="384">
        <f>'4b_Value_Pools_by_Capability'!$AB$18</f>
        <v>2274225.8254183112</v>
      </c>
      <c r="I81" s="243">
        <f t="shared" si="3"/>
        <v>2143379.211975662</v>
      </c>
      <c r="J81" s="112">
        <f t="shared" si="4"/>
        <v>0.18314063985258255</v>
      </c>
      <c r="K81" s="56" t="str">
        <f t="shared" si="5"/>
        <v>pays back inside a year</v>
      </c>
    </row>
    <row r="82" spans="2:11" ht="21.75" customHeight="1" x14ac:dyDescent="0.25">
      <c r="B82" s="76" t="s">
        <v>251</v>
      </c>
      <c r="C82" s="381">
        <f>COUNTIF('2_Capability_Assessment'!$B$6:$B$41,$B82)</f>
        <v>3</v>
      </c>
      <c r="D82" s="231">
        <f>IFERROR('4b_Value_Pools_by_Capability'!$AB$19/SUM('4b_Value_Pools_by_Capability'!$AB$15:$AB$24),0)</f>
        <v>1.0693077187694175E-2</v>
      </c>
      <c r="E82" s="258">
        <f t="shared" si="0"/>
        <v>80198.078907706309</v>
      </c>
      <c r="F82" s="258">
        <f t="shared" si="1"/>
        <v>26732.692969235439</v>
      </c>
      <c r="G82" s="258">
        <f t="shared" si="2"/>
        <v>213861.54375388351</v>
      </c>
      <c r="H82" s="258">
        <f>'4b_Value_Pools_by_Capability'!$AB$19</f>
        <v>464637.02142555756</v>
      </c>
      <c r="I82" s="382">
        <f t="shared" si="3"/>
        <v>437904.32845632214</v>
      </c>
      <c r="J82" s="383">
        <f t="shared" si="4"/>
        <v>0.18314063985258255</v>
      </c>
      <c r="K82" s="77" t="str">
        <f t="shared" si="5"/>
        <v>pays back inside a year</v>
      </c>
    </row>
    <row r="83" spans="2:11" ht="21.75" customHeight="1" x14ac:dyDescent="0.25">
      <c r="B83" s="97" t="s">
        <v>282</v>
      </c>
      <c r="C83" s="120">
        <f>COUNTIF('2_Capability_Assessment'!$B$6:$B$41,$B83)</f>
        <v>4</v>
      </c>
      <c r="D83" s="355">
        <f>IFERROR('4b_Value_Pools_by_Capability'!$AB$20/SUM('4b_Value_Pools_by_Capability'!$AB$15:$AB$24),0)</f>
        <v>0.20714228189503781</v>
      </c>
      <c r="E83" s="384">
        <f t="shared" si="0"/>
        <v>1553567.1142127835</v>
      </c>
      <c r="F83" s="384">
        <f t="shared" si="1"/>
        <v>517855.70473759453</v>
      </c>
      <c r="G83" s="384">
        <f t="shared" si="2"/>
        <v>4142845.6379007562</v>
      </c>
      <c r="H83" s="384">
        <f>'4b_Value_Pools_by_Capability'!$AB$20</f>
        <v>9000774.1627232917</v>
      </c>
      <c r="I83" s="243">
        <f t="shared" si="3"/>
        <v>8482918.4579856973</v>
      </c>
      <c r="J83" s="112">
        <f t="shared" si="4"/>
        <v>0.18314063985258255</v>
      </c>
      <c r="K83" s="56" t="str">
        <f t="shared" si="5"/>
        <v>pays back inside a year</v>
      </c>
    </row>
    <row r="84" spans="2:11" ht="21.75" customHeight="1" x14ac:dyDescent="0.25">
      <c r="B84" s="76" t="s">
        <v>313</v>
      </c>
      <c r="C84" s="381">
        <f>COUNTIF('2_Capability_Assessment'!$B$6:$B$41,$B84)</f>
        <v>3</v>
      </c>
      <c r="D84" s="231">
        <f>IFERROR('4b_Value_Pools_by_Capability'!$AB$21/SUM('4b_Value_Pools_by_Capability'!$AB$15:$AB$24),0)</f>
        <v>2.1382614646771124E-2</v>
      </c>
      <c r="E84" s="258">
        <f t="shared" si="0"/>
        <v>160369.60985078342</v>
      </c>
      <c r="F84" s="258">
        <f t="shared" si="1"/>
        <v>53456.536616927813</v>
      </c>
      <c r="G84" s="258">
        <f t="shared" si="2"/>
        <v>427652.29293542251</v>
      </c>
      <c r="H84" s="258">
        <f>'4b_Value_Pools_by_Capability'!$AB$21</f>
        <v>929120.23408938141</v>
      </c>
      <c r="I84" s="382">
        <f t="shared" si="3"/>
        <v>875663.69747245358</v>
      </c>
      <c r="J84" s="383">
        <f t="shared" si="4"/>
        <v>0.18314063985258255</v>
      </c>
      <c r="K84" s="77" t="str">
        <f t="shared" si="5"/>
        <v>pays back inside a year</v>
      </c>
    </row>
    <row r="85" spans="2:11" ht="21.75" customHeight="1" x14ac:dyDescent="0.25">
      <c r="B85" s="97" t="s">
        <v>344</v>
      </c>
      <c r="C85" s="120">
        <f>COUNTIF('2_Capability_Assessment'!$B$6:$B$41,$B85)</f>
        <v>3</v>
      </c>
      <c r="D85" s="355">
        <f>IFERROR('4b_Value_Pools_by_Capability'!$AB$22/SUM('4b_Value_Pools_by_Capability'!$AB$15:$AB$24),0)</f>
        <v>5.672650259769629E-3</v>
      </c>
      <c r="E85" s="384">
        <f t="shared" si="0"/>
        <v>42544.87694827222</v>
      </c>
      <c r="F85" s="384">
        <f t="shared" si="1"/>
        <v>14181.625649424073</v>
      </c>
      <c r="G85" s="384">
        <f t="shared" si="2"/>
        <v>113453.00519539259</v>
      </c>
      <c r="H85" s="384">
        <f>'4b_Value_Pools_by_Capability'!$AB$22</f>
        <v>246488.75847651443</v>
      </c>
      <c r="I85" s="243">
        <f t="shared" si="3"/>
        <v>232307.13282709036</v>
      </c>
      <c r="J85" s="112">
        <f t="shared" si="4"/>
        <v>0.18314063985258258</v>
      </c>
      <c r="K85" s="56" t="str">
        <f t="shared" si="5"/>
        <v>pays back inside a year</v>
      </c>
    </row>
    <row r="86" spans="2:11" ht="21.75" customHeight="1" x14ac:dyDescent="0.25">
      <c r="B86" s="76" t="s">
        <v>375</v>
      </c>
      <c r="C86" s="381">
        <f>COUNTIF('2_Capability_Assessment'!$B$6:$B$41,$B86)</f>
        <v>4</v>
      </c>
      <c r="D86" s="231">
        <f>IFERROR('4b_Value_Pools_by_Capability'!$AB$23/SUM('4b_Value_Pools_by_Capability'!$AB$15:$AB$24),0)</f>
        <v>4.0291066563130522E-2</v>
      </c>
      <c r="E86" s="258">
        <f t="shared" si="0"/>
        <v>302182.9992234789</v>
      </c>
      <c r="F86" s="258">
        <f t="shared" si="1"/>
        <v>100727.6664078263</v>
      </c>
      <c r="G86" s="258">
        <f t="shared" si="2"/>
        <v>805821.33126261039</v>
      </c>
      <c r="H86" s="258">
        <f>'4b_Value_Pools_by_Capability'!$AB$23</f>
        <v>1750732.818004536</v>
      </c>
      <c r="I86" s="382">
        <f t="shared" si="3"/>
        <v>1650005.1515967096</v>
      </c>
      <c r="J86" s="383">
        <f t="shared" si="4"/>
        <v>0.18314063985258255</v>
      </c>
      <c r="K86" s="77" t="str">
        <f t="shared" si="5"/>
        <v>pays back inside a year</v>
      </c>
    </row>
    <row r="87" spans="2:11" ht="21.75" customHeight="1" x14ac:dyDescent="0.25">
      <c r="B87" s="97" t="s">
        <v>405</v>
      </c>
      <c r="C87" s="120">
        <f>COUNTIF('2_Capability_Assessment'!$B$6:$B$41,$B87)</f>
        <v>3</v>
      </c>
      <c r="D87" s="355">
        <f>IFERROR('4b_Value_Pools_by_Capability'!$AB$24/SUM('4b_Value_Pools_by_Capability'!$AB$15:$AB$24),0)</f>
        <v>0</v>
      </c>
      <c r="E87" s="384">
        <f t="shared" si="0"/>
        <v>0</v>
      </c>
      <c r="F87" s="384">
        <f t="shared" si="1"/>
        <v>0</v>
      </c>
      <c r="G87" s="384">
        <f t="shared" si="2"/>
        <v>0</v>
      </c>
      <c r="H87" s="384">
        <f>'4b_Value_Pools_by_Capability'!$AB$24</f>
        <v>0</v>
      </c>
      <c r="I87" s="243">
        <f t="shared" si="3"/>
        <v>0</v>
      </c>
      <c r="J87" s="112" t="str">
        <f t="shared" si="4"/>
        <v>never</v>
      </c>
      <c r="K87" s="56" t="str">
        <f t="shared" si="5"/>
        <v>no pool — not funded</v>
      </c>
    </row>
    <row r="88" spans="2:11" ht="21.75" customHeight="1" x14ac:dyDescent="0.25">
      <c r="B88" s="385" t="s">
        <v>870</v>
      </c>
      <c r="C88" s="386">
        <f t="shared" ref="C88:I88" si="6">SUM(C78:C87)</f>
        <v>36</v>
      </c>
      <c r="D88" s="387">
        <f t="shared" si="6"/>
        <v>1</v>
      </c>
      <c r="E88" s="388">
        <f t="shared" si="6"/>
        <v>7499999.9999999991</v>
      </c>
      <c r="F88" s="388">
        <f t="shared" si="6"/>
        <v>2500000</v>
      </c>
      <c r="G88" s="388">
        <f t="shared" si="6"/>
        <v>20000000</v>
      </c>
      <c r="H88" s="388">
        <f t="shared" si="6"/>
        <v>43452133.868468836</v>
      </c>
      <c r="I88" s="388">
        <f t="shared" si="6"/>
        <v>40952133.868468836</v>
      </c>
      <c r="J88" s="389">
        <f>IFERROR($E88/$I88,"")</f>
        <v>0.18314063985258255</v>
      </c>
      <c r="K88" s="390"/>
    </row>
    <row r="89" spans="2:11" ht="18" customHeight="1" x14ac:dyDescent="0.25"/>
    <row r="90" spans="2:11" ht="18" customHeight="1" x14ac:dyDescent="0.25">
      <c r="B90" s="64" t="s">
        <v>885</v>
      </c>
    </row>
    <row r="91" spans="2:11" ht="24" customHeight="1" x14ac:dyDescent="0.25">
      <c r="B91" s="3" t="s">
        <v>1161</v>
      </c>
    </row>
    <row r="92" spans="2:11" ht="24" customHeight="1" x14ac:dyDescent="0.25">
      <c r="B92" s="3" t="s">
        <v>1162</v>
      </c>
    </row>
    <row r="93" spans="2:11" ht="24" customHeight="1" x14ac:dyDescent="0.25">
      <c r="B93" s="3" t="s">
        <v>1163</v>
      </c>
    </row>
    <row r="94" spans="2:11" ht="24" customHeight="1" x14ac:dyDescent="0.25">
      <c r="B94" s="3" t="s">
        <v>1164</v>
      </c>
    </row>
    <row r="95" spans="2:11" ht="30" customHeight="1" x14ac:dyDescent="0.25">
      <c r="B95" s="3" t="s">
        <v>1165</v>
      </c>
    </row>
  </sheetData>
  <mergeCells count="8">
    <mergeCell ref="C50:E50"/>
    <mergeCell ref="A53:G53"/>
    <mergeCell ref="C71:G71"/>
    <mergeCell ref="A1:G1"/>
    <mergeCell ref="A2:G2"/>
    <mergeCell ref="A4:G4"/>
    <mergeCell ref="A38:G38"/>
    <mergeCell ref="A41:G41"/>
  </mergeCells>
  <pageMargins left="0.75" right="0.75" top="1" bottom="1" header="0.511811023622047" footer="0.511811023622047"/>
  <pageSetup paperSize="9"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D4FF"/>
    <pageSetUpPr fitToPage="1"/>
  </sheetPr>
  <dimension ref="A1:F69"/>
  <sheetViews>
    <sheetView showGridLines="0" zoomScale="90" zoomScaleNormal="90" workbookViewId="0">
      <selection activeCell="F11" sqref="F11"/>
    </sheetView>
  </sheetViews>
  <sheetFormatPr defaultColWidth="8.7109375" defaultRowHeight="15" x14ac:dyDescent="0.25"/>
  <cols>
    <col min="1" max="1" width="9" customWidth="1"/>
    <col min="2" max="2" width="42" customWidth="1"/>
    <col min="3" max="5" width="15" customWidth="1"/>
    <col min="6" max="6" width="58" customWidth="1"/>
  </cols>
  <sheetData>
    <row r="1" spans="1:6" ht="44.25" customHeight="1" x14ac:dyDescent="0.25"/>
    <row r="2" spans="1:6" ht="33.75" customHeight="1" x14ac:dyDescent="0.25">
      <c r="A2" s="499" t="s">
        <v>1166</v>
      </c>
      <c r="B2" s="499"/>
      <c r="C2" s="499"/>
      <c r="D2" s="499"/>
      <c r="E2" s="499"/>
      <c r="F2" s="499"/>
    </row>
    <row r="3" spans="1:6" ht="42" customHeight="1" x14ac:dyDescent="0.25">
      <c r="A3" s="500" t="s">
        <v>1167</v>
      </c>
      <c r="B3" s="500"/>
      <c r="C3" s="500"/>
      <c r="D3" s="500"/>
      <c r="E3" s="500"/>
      <c r="F3" s="500"/>
    </row>
    <row r="4" spans="1:6" ht="18" customHeight="1" x14ac:dyDescent="0.25"/>
    <row r="5" spans="1:6" ht="24" customHeight="1" x14ac:dyDescent="0.25">
      <c r="A5" s="501" t="s">
        <v>1168</v>
      </c>
      <c r="B5" s="501"/>
      <c r="C5" s="501"/>
      <c r="D5" s="501"/>
      <c r="E5" s="501"/>
      <c r="F5" s="501"/>
    </row>
    <row r="6" spans="1:6" ht="25.5" customHeight="1" x14ac:dyDescent="0.25">
      <c r="B6" s="64" t="s">
        <v>1036</v>
      </c>
      <c r="C6" s="158">
        <f>'5_Implementation_Feasibility'!$E$19</f>
        <v>0.75</v>
      </c>
      <c r="F6" s="3" t="s">
        <v>1169</v>
      </c>
    </row>
    <row r="7" spans="1:6" ht="25.5" customHeight="1" x14ac:dyDescent="0.25">
      <c r="B7" s="53" t="s">
        <v>1042</v>
      </c>
      <c r="C7" s="341">
        <f>'5_Implementation_Feasibility'!$E$20</f>
        <v>0.75</v>
      </c>
      <c r="F7" s="28" t="s">
        <v>1170</v>
      </c>
    </row>
    <row r="8" spans="1:6" ht="25.5" customHeight="1" x14ac:dyDescent="0.25">
      <c r="B8" s="64" t="s">
        <v>1171</v>
      </c>
      <c r="C8" s="391">
        <f>'5_Implementation_Feasibility'!$E$14</f>
        <v>45273136.912409887</v>
      </c>
      <c r="F8" s="3" t="s">
        <v>1172</v>
      </c>
    </row>
    <row r="9" spans="1:6" ht="18" customHeight="1" x14ac:dyDescent="0.25"/>
    <row r="10" spans="1:6" ht="24" customHeight="1" x14ac:dyDescent="0.25">
      <c r="A10" s="501" t="s">
        <v>1173</v>
      </c>
      <c r="B10" s="501"/>
      <c r="C10" s="501"/>
      <c r="D10" s="501"/>
      <c r="E10" s="501"/>
      <c r="F10" s="501"/>
    </row>
    <row r="11" spans="1:6" ht="24" customHeight="1" x14ac:dyDescent="0.25">
      <c r="B11" s="392" t="s">
        <v>1174</v>
      </c>
      <c r="C11" s="392" t="s">
        <v>39</v>
      </c>
      <c r="F11" s="392" t="s">
        <v>1064</v>
      </c>
    </row>
    <row r="12" spans="1:6" ht="33.75" customHeight="1" x14ac:dyDescent="0.25">
      <c r="B12" s="3" t="s">
        <v>1175</v>
      </c>
      <c r="C12" s="393">
        <v>60</v>
      </c>
      <c r="F12" s="3" t="s">
        <v>1176</v>
      </c>
    </row>
    <row r="13" spans="1:6" ht="33.75" customHeight="1" x14ac:dyDescent="0.25">
      <c r="B13" s="28" t="s">
        <v>1177</v>
      </c>
      <c r="C13" s="393">
        <v>18</v>
      </c>
      <c r="F13" s="28" t="s">
        <v>1178</v>
      </c>
    </row>
    <row r="14" spans="1:6" ht="33.75" customHeight="1" x14ac:dyDescent="0.25">
      <c r="B14" s="3" t="s">
        <v>1179</v>
      </c>
      <c r="C14" s="123">
        <v>0.18</v>
      </c>
      <c r="F14" s="3" t="s">
        <v>1180</v>
      </c>
    </row>
    <row r="15" spans="1:6" ht="21.75" customHeight="1" x14ac:dyDescent="0.25">
      <c r="B15" s="28" t="s">
        <v>1181</v>
      </c>
      <c r="C15" s="394">
        <v>0.4</v>
      </c>
      <c r="D15" s="394">
        <v>0.6</v>
      </c>
      <c r="F15" s="28" t="s">
        <v>1182</v>
      </c>
    </row>
    <row r="16" spans="1:6" ht="24" customHeight="1" x14ac:dyDescent="0.25">
      <c r="A16" s="1" t="s">
        <v>1183</v>
      </c>
      <c r="B16" s="5"/>
      <c r="C16" s="5"/>
      <c r="D16" s="5"/>
      <c r="E16" s="5"/>
      <c r="F16" s="5"/>
    </row>
    <row r="17" spans="1:6" ht="24" customHeight="1" x14ac:dyDescent="0.25">
      <c r="B17" s="392" t="s">
        <v>1184</v>
      </c>
      <c r="C17" s="392" t="s">
        <v>39</v>
      </c>
      <c r="F17" s="392" t="s">
        <v>1087</v>
      </c>
    </row>
    <row r="18" spans="1:6" ht="31.5" customHeight="1" x14ac:dyDescent="0.25">
      <c r="B18" s="63" t="s">
        <v>1185</v>
      </c>
      <c r="C18" s="395">
        <f>1/(MAX($C$6,0.1)^$C$15*MAX($C$7,0.1)^$D$15)</f>
        <v>1.3333333333333333</v>
      </c>
      <c r="F18" s="3" t="s">
        <v>1186</v>
      </c>
    </row>
    <row r="19" spans="1:6" ht="31.5" customHeight="1" x14ac:dyDescent="0.25">
      <c r="B19" s="74" t="s">
        <v>1187</v>
      </c>
      <c r="C19" s="396">
        <f>$C$13*C18</f>
        <v>24</v>
      </c>
      <c r="F19" s="28" t="str">
        <f>"Base "&amp;TEXT($C$13,"0")&amp;" months x delay "&amp;TEXT(C18,"0.00")&amp;" = "&amp;TEXT(C19,"0.0")&amp;" months to reach half the run rate."</f>
        <v>Base 18 months x delay 1.33 = 24.0 months to reach half the run rate.</v>
      </c>
    </row>
    <row r="20" spans="1:6" ht="15" customHeight="1" x14ac:dyDescent="0.25">
      <c r="B20" s="79" t="s">
        <v>1188</v>
      </c>
      <c r="C20" s="397">
        <f>0.55+0.45*$C$6</f>
        <v>0.88750000000000007</v>
      </c>
      <c r="F20" s="3" t="s">
        <v>1189</v>
      </c>
    </row>
    <row r="21" spans="1:6" ht="15" customHeight="1" x14ac:dyDescent="0.25">
      <c r="B21" s="75" t="s">
        <v>1190</v>
      </c>
      <c r="C21" s="398">
        <f>0.5+0.5*$C$7</f>
        <v>0.875</v>
      </c>
      <c r="F21" s="28" t="s">
        <v>1191</v>
      </c>
    </row>
    <row r="22" spans="1:6" ht="39.75" customHeight="1" x14ac:dyDescent="0.25">
      <c r="A22" s="176"/>
      <c r="B22" s="63" t="s">
        <v>1192</v>
      </c>
      <c r="C22" s="395">
        <f>$C$14*C20*C21</f>
        <v>0.13978125</v>
      </c>
      <c r="D22" s="176"/>
      <c r="E22" s="176"/>
      <c r="F22" s="64" t="str">
        <f>"Base "&amp;TEXT($C$14,"0.00")&amp;" x "&amp;TEXT(C20,"0.000")&amp;" x "&amp;TEXT(C21,"0.000")&amp;" = "&amp;TEXT(C22,"0.000")&amp;".  A flatter curve, not just a later one — this is where most of Barrs value loss comes from."</f>
        <v>Base 0.18 x 0.888 x 0.875 = 0.140.  A flatter curve, not just a later one — this is where most of Barrs value loss comes from.</v>
      </c>
    </row>
    <row r="23" spans="1:6" ht="31.5" customHeight="1" x14ac:dyDescent="0.25">
      <c r="A23" s="176"/>
      <c r="B23" s="74" t="s">
        <v>1193</v>
      </c>
      <c r="C23" s="172">
        <f>1/(1+EXP(-$C$22*(0-$C$19)))</f>
        <v>3.3739963226011582E-2</v>
      </c>
      <c r="D23" s="176"/>
      <c r="E23" s="176"/>
      <c r="F23" s="28" t="s">
        <v>1194</v>
      </c>
    </row>
    <row r="24" spans="1:6" ht="31.5" customHeight="1" x14ac:dyDescent="0.25">
      <c r="B24" s="79" t="s">
        <v>1195</v>
      </c>
      <c r="C24" s="399">
        <f>1/(1+EXP(-$C$22*($C$12-$C$19)))</f>
        <v>0.99351736836884175</v>
      </c>
      <c r="F24" s="3" t="str">
        <f>"The pool is "&amp;TEXT($C$8,"#,##0")&amp;" but only "&amp;TEXT(C23,"#,##0")&amp;" arrives inside the window. Raising the organisation's capacity to absorb change is what recovers the difference."</f>
        <v>The pool is 45,273,137 but only 0 arrives inside the window. Raising the organisation's capacity to absorb change is what recovers the difference.</v>
      </c>
    </row>
    <row r="25" spans="1:6" ht="15" customHeight="1" x14ac:dyDescent="0.25">
      <c r="B25" s="75" t="s">
        <v>1196</v>
      </c>
      <c r="C25" s="400">
        <f>C24-C23</f>
        <v>0.95977740514283016</v>
      </c>
      <c r="F25" s="28" t="str">
        <f>"End of window "&amp;TEXT(C24,"0.0%")&amp;" minus start "&amp;TEXT(C23,"0.0%")&amp;" = "&amp;TEXT(C25,"0.0%")&amp;".  Barr Eq. 27: only the increment counts — value already flowing at the start is in the price you paid."</f>
        <v>End of window 99.4% minus start 3.4% = 96.0%.  Barr Eq. 27: only the increment counts — value already flowing at the start is in the price you paid.</v>
      </c>
    </row>
    <row r="26" spans="1:6" ht="18" customHeight="1" x14ac:dyDescent="0.25">
      <c r="A26" s="60" t="s">
        <v>1197</v>
      </c>
      <c r="B26" s="79" t="s">
        <v>1198</v>
      </c>
      <c r="C26" s="401">
        <f>$C$8*C25</f>
        <v>43452133.868468843</v>
      </c>
      <c r="F26" s="3" t="str">
        <f>"Pool "&amp;TEXT($C$8,"#,##0")&amp;" x "&amp;TEXT(C25,"0.0%")&amp;" = "&amp;TEXT(C26,"#,##0")&amp;" per year."</f>
        <v>Pool 45,273,137 x 96.0% = 43,452,134 per year.</v>
      </c>
    </row>
    <row r="27" spans="1:6" ht="21.75" customHeight="1" x14ac:dyDescent="0.25">
      <c r="B27" s="74" t="s">
        <v>1199</v>
      </c>
      <c r="C27" s="373">
        <f>$C$8-C26</f>
        <v>1821003.0439410433</v>
      </c>
      <c r="D27" s="392" t="s">
        <v>1200</v>
      </c>
      <c r="F27" s="28" t="str">
        <f>"The pool is "&amp;TEXT($C$8,"#,##0")&amp;" but only "&amp;TEXT(C26,"#,##0")&amp;" arrives inside the window. Raising data readiness moves this more than raising change capacity, because it carries the heavier exponent."</f>
        <v>The pool is 45,273,137 but only 43,452,134 arrives inside the window. Raising data readiness moves this more than raising change capacity, because it carries the heavier exponent.</v>
      </c>
    </row>
    <row r="28" spans="1:6" ht="15.75" customHeight="1" x14ac:dyDescent="0.25">
      <c r="B28" s="43">
        <v>0</v>
      </c>
      <c r="C28" s="336">
        <f>1/(1+EXP(-$C$14*(B28-$C$19)))</f>
        <v>1.3125318337102799E-2</v>
      </c>
      <c r="D28" s="336">
        <f>1/(1+EXP(-$C$14*(B28-$C$13)))</f>
        <v>3.768789050860593E-2</v>
      </c>
    </row>
    <row r="29" spans="1:6" ht="15.75" customHeight="1" x14ac:dyDescent="0.25">
      <c r="A29" s="53" t="s">
        <v>1197</v>
      </c>
      <c r="B29" s="402">
        <v>3</v>
      </c>
      <c r="C29" s="403">
        <f>1/(1+EXP(-$C$14*(B29-$C$19)))</f>
        <v>2.231343869903224E-2</v>
      </c>
      <c r="D29" s="403">
        <f>1/(1+EXP(-$C$14*(B29-$C$13)))</f>
        <v>6.2973356056996513E-2</v>
      </c>
    </row>
    <row r="30" spans="1:6" ht="15.75" customHeight="1" x14ac:dyDescent="0.25">
      <c r="B30" s="404" t="s">
        <v>1201</v>
      </c>
      <c r="C30" s="399" t="s">
        <v>1202</v>
      </c>
      <c r="D30" s="399" t="s">
        <v>1200</v>
      </c>
    </row>
    <row r="31" spans="1:6" ht="15.75" customHeight="1" x14ac:dyDescent="0.25">
      <c r="B31" s="405">
        <v>0</v>
      </c>
      <c r="C31" s="406">
        <f t="shared" ref="C31:C51" si="0">1/(1+EXP(-$C$22*(B31-$C$19)))</f>
        <v>3.3739963226011582E-2</v>
      </c>
      <c r="D31" s="406">
        <f t="shared" ref="D31:D51" si="1">1/(1+EXP(-$C$14*(B31-$C$13)))</f>
        <v>3.768789050860593E-2</v>
      </c>
    </row>
    <row r="32" spans="1:6" ht="15.75" customHeight="1" x14ac:dyDescent="0.25">
      <c r="B32" s="407">
        <v>3</v>
      </c>
      <c r="C32" s="408">
        <f t="shared" si="0"/>
        <v>5.0430802802570715E-2</v>
      </c>
      <c r="D32" s="408">
        <f t="shared" si="1"/>
        <v>6.2973356056996513E-2</v>
      </c>
    </row>
    <row r="33" spans="1:4" ht="15.75" customHeight="1" x14ac:dyDescent="0.25">
      <c r="B33" s="405">
        <v>6</v>
      </c>
      <c r="C33" s="406">
        <f t="shared" si="0"/>
        <v>7.4739782513959158E-2</v>
      </c>
      <c r="D33" s="406">
        <f t="shared" si="1"/>
        <v>0.10340045145824957</v>
      </c>
    </row>
    <row r="34" spans="1:4" ht="15.75" customHeight="1" x14ac:dyDescent="0.25">
      <c r="B34" s="407">
        <v>9</v>
      </c>
      <c r="C34" s="408">
        <f t="shared" si="0"/>
        <v>0.10941615062245871</v>
      </c>
      <c r="D34" s="408">
        <f t="shared" si="1"/>
        <v>0.16520487019061464</v>
      </c>
    </row>
    <row r="35" spans="1:4" ht="15.75" customHeight="1" x14ac:dyDescent="0.25">
      <c r="B35" s="405">
        <v>12</v>
      </c>
      <c r="C35" s="406">
        <f t="shared" si="0"/>
        <v>0.15744337511122961</v>
      </c>
      <c r="D35" s="406">
        <f t="shared" si="1"/>
        <v>0.2535060166623378</v>
      </c>
    </row>
    <row r="36" spans="1:4" ht="15.75" customHeight="1" x14ac:dyDescent="0.25">
      <c r="B36" s="407">
        <v>15</v>
      </c>
      <c r="C36" s="408">
        <f t="shared" si="0"/>
        <v>0.22131298773577893</v>
      </c>
      <c r="D36" s="408">
        <f t="shared" si="1"/>
        <v>0.36818758226389831</v>
      </c>
    </row>
    <row r="37" spans="1:4" ht="15.75" customHeight="1" x14ac:dyDescent="0.25">
      <c r="B37" s="405">
        <v>18</v>
      </c>
      <c r="C37" s="406">
        <f t="shared" si="0"/>
        <v>0.30181128365186932</v>
      </c>
      <c r="D37" s="406">
        <f t="shared" si="1"/>
        <v>0.5</v>
      </c>
    </row>
    <row r="38" spans="1:4" ht="15.75" customHeight="1" x14ac:dyDescent="0.25">
      <c r="B38" s="407">
        <v>21</v>
      </c>
      <c r="C38" s="408">
        <f t="shared" si="0"/>
        <v>0.396673795655892</v>
      </c>
      <c r="D38" s="408">
        <f t="shared" si="1"/>
        <v>0.63181241773610164</v>
      </c>
    </row>
    <row r="39" spans="1:4" ht="15.75" customHeight="1" x14ac:dyDescent="0.25">
      <c r="B39" s="405">
        <v>24</v>
      </c>
      <c r="C39" s="406">
        <f t="shared" si="0"/>
        <v>0.5</v>
      </c>
      <c r="D39" s="406">
        <f t="shared" si="1"/>
        <v>0.74649398333766215</v>
      </c>
    </row>
    <row r="40" spans="1:4" ht="15.75" customHeight="1" x14ac:dyDescent="0.25">
      <c r="B40" s="407">
        <v>27</v>
      </c>
      <c r="C40" s="408">
        <f t="shared" si="0"/>
        <v>0.603326204344108</v>
      </c>
      <c r="D40" s="408">
        <f t="shared" si="1"/>
        <v>0.83479512980938542</v>
      </c>
    </row>
    <row r="41" spans="1:4" ht="15.75" customHeight="1" x14ac:dyDescent="0.25">
      <c r="B41" s="405">
        <v>30</v>
      </c>
      <c r="C41" s="406">
        <f t="shared" si="0"/>
        <v>0.69818871634813073</v>
      </c>
      <c r="D41" s="406">
        <f t="shared" si="1"/>
        <v>0.89659954854175039</v>
      </c>
    </row>
    <row r="42" spans="1:4" ht="15.75" customHeight="1" x14ac:dyDescent="0.25">
      <c r="A42" s="409"/>
      <c r="B42" s="407">
        <v>33</v>
      </c>
      <c r="C42" s="408">
        <f t="shared" si="0"/>
        <v>0.77868701226422099</v>
      </c>
      <c r="D42" s="408">
        <f t="shared" si="1"/>
        <v>0.9370266439430035</v>
      </c>
    </row>
    <row r="43" spans="1:4" ht="15.75" customHeight="1" x14ac:dyDescent="0.25">
      <c r="B43" s="405">
        <v>36</v>
      </c>
      <c r="C43" s="406">
        <f t="shared" si="0"/>
        <v>0.84255662488877037</v>
      </c>
      <c r="D43" s="406">
        <f t="shared" si="1"/>
        <v>0.96231210949139412</v>
      </c>
    </row>
    <row r="44" spans="1:4" ht="15.75" customHeight="1" x14ac:dyDescent="0.25">
      <c r="B44" s="407">
        <v>39</v>
      </c>
      <c r="C44" s="408">
        <f t="shared" si="0"/>
        <v>0.89058384937754131</v>
      </c>
      <c r="D44" s="408">
        <f t="shared" si="1"/>
        <v>0.97768656130096765</v>
      </c>
    </row>
    <row r="45" spans="1:4" ht="15.75" customHeight="1" x14ac:dyDescent="0.25">
      <c r="B45" s="405">
        <v>42</v>
      </c>
      <c r="C45" s="406">
        <f t="shared" si="0"/>
        <v>0.92526021748604093</v>
      </c>
      <c r="D45" s="406">
        <f t="shared" si="1"/>
        <v>0.98687468166289716</v>
      </c>
    </row>
    <row r="46" spans="1:4" ht="15.75" customHeight="1" x14ac:dyDescent="0.25">
      <c r="B46" s="407">
        <v>45</v>
      </c>
      <c r="C46" s="408">
        <f t="shared" si="0"/>
        <v>0.94956919719742916</v>
      </c>
      <c r="D46" s="408">
        <f t="shared" si="1"/>
        <v>0.9923091241184917</v>
      </c>
    </row>
    <row r="47" spans="1:4" ht="15.75" customHeight="1" x14ac:dyDescent="0.25">
      <c r="B47" s="405">
        <v>48</v>
      </c>
      <c r="C47" s="406">
        <f t="shared" si="0"/>
        <v>0.96626003677398853</v>
      </c>
      <c r="D47" s="406">
        <f t="shared" si="1"/>
        <v>0.99550372683905886</v>
      </c>
    </row>
    <row r="48" spans="1:4" ht="15.75" customHeight="1" x14ac:dyDescent="0.25">
      <c r="B48" s="407">
        <v>51</v>
      </c>
      <c r="C48" s="408">
        <f t="shared" si="0"/>
        <v>0.97755734903816227</v>
      </c>
      <c r="D48" s="408">
        <f t="shared" si="1"/>
        <v>0.99737487974333983</v>
      </c>
    </row>
    <row r="49" spans="1:6" ht="15" customHeight="1" x14ac:dyDescent="0.25">
      <c r="B49" s="75">
        <v>54</v>
      </c>
      <c r="C49" s="400">
        <f t="shared" si="0"/>
        <v>0.98513014133634924</v>
      </c>
      <c r="D49" s="400">
        <f t="shared" si="1"/>
        <v>0.99846853829299664</v>
      </c>
    </row>
    <row r="50" spans="1:6" ht="61.5" customHeight="1" x14ac:dyDescent="0.25">
      <c r="A50" s="3" t="s">
        <v>1203</v>
      </c>
      <c r="B50" s="79">
        <v>57</v>
      </c>
      <c r="C50" s="374">
        <f t="shared" si="0"/>
        <v>0.99017334322567874</v>
      </c>
      <c r="D50" s="374">
        <f t="shared" si="1"/>
        <v>0.99910697271770177</v>
      </c>
    </row>
    <row r="51" spans="1:6" ht="15" customHeight="1" x14ac:dyDescent="0.25">
      <c r="B51" s="75">
        <v>60</v>
      </c>
      <c r="C51" s="400">
        <f t="shared" si="0"/>
        <v>0.99351736836884175</v>
      </c>
      <c r="D51" s="400">
        <f t="shared" si="1"/>
        <v>0.99947939592588908</v>
      </c>
    </row>
    <row r="52" spans="1:6" ht="18" customHeight="1" x14ac:dyDescent="0.25"/>
    <row r="53" spans="1:6" ht="72" customHeight="1" x14ac:dyDescent="0.25">
      <c r="A53" s="498" t="s">
        <v>1204</v>
      </c>
      <c r="B53" s="498"/>
      <c r="C53" s="498"/>
      <c r="D53" s="498"/>
      <c r="E53" s="498"/>
      <c r="F53" s="498"/>
    </row>
    <row r="54" spans="1:6" ht="18" customHeight="1" x14ac:dyDescent="0.25"/>
    <row r="55" spans="1:6" ht="18" customHeight="1" x14ac:dyDescent="0.25"/>
    <row r="56" spans="1:6" ht="18" customHeight="1" x14ac:dyDescent="0.25"/>
    <row r="57" spans="1:6" ht="24" customHeight="1" x14ac:dyDescent="0.25">
      <c r="A57" s="1" t="s">
        <v>1205</v>
      </c>
      <c r="B57" s="5"/>
      <c r="C57" s="5"/>
      <c r="D57" s="5"/>
      <c r="E57" s="5"/>
      <c r="F57" s="5"/>
    </row>
    <row r="58" spans="1:6" ht="43.5" customHeight="1" x14ac:dyDescent="0.25">
      <c r="A58" s="498" t="s">
        <v>1206</v>
      </c>
      <c r="B58" s="498"/>
      <c r="C58" s="498"/>
      <c r="D58" s="498"/>
      <c r="E58" s="498"/>
      <c r="F58" s="498"/>
    </row>
    <row r="59" spans="1:6" ht="18" customHeight="1" x14ac:dyDescent="0.25"/>
    <row r="60" spans="1:6" ht="30" customHeight="1" x14ac:dyDescent="0.25">
      <c r="B60" s="139" t="s">
        <v>1207</v>
      </c>
      <c r="C60" s="139" t="s">
        <v>1208</v>
      </c>
      <c r="D60" s="139" t="s">
        <v>1209</v>
      </c>
      <c r="E60" s="139" t="s">
        <v>1210</v>
      </c>
    </row>
    <row r="61" spans="1:6" ht="30" customHeight="1" x14ac:dyDescent="0.25">
      <c r="B61" s="74" t="s">
        <v>1211</v>
      </c>
      <c r="C61" s="398">
        <v>0.38</v>
      </c>
      <c r="D61" s="405">
        <v>18</v>
      </c>
      <c r="E61" s="75" t="s">
        <v>1212</v>
      </c>
    </row>
    <row r="62" spans="1:6" ht="30" customHeight="1" x14ac:dyDescent="0.25">
      <c r="B62" s="63" t="s">
        <v>1213</v>
      </c>
      <c r="C62" s="397">
        <v>0.42</v>
      </c>
      <c r="D62" s="407">
        <v>36</v>
      </c>
      <c r="E62" s="79" t="s">
        <v>1214</v>
      </c>
    </row>
    <row r="63" spans="1:6" ht="30" customHeight="1" x14ac:dyDescent="0.25">
      <c r="B63" s="74" t="s">
        <v>1215</v>
      </c>
      <c r="C63" s="398">
        <v>0.32</v>
      </c>
      <c r="D63" s="405">
        <v>60</v>
      </c>
      <c r="E63" s="75" t="s">
        <v>1216</v>
      </c>
    </row>
    <row r="64" spans="1:6" ht="30" customHeight="1" x14ac:dyDescent="0.25">
      <c r="B64" s="63" t="s">
        <v>1217</v>
      </c>
      <c r="C64" s="410"/>
      <c r="D64" s="411"/>
      <c r="E64" s="79" t="s">
        <v>1218</v>
      </c>
    </row>
    <row r="65" spans="2:5" ht="30" customHeight="1" x14ac:dyDescent="0.25">
      <c r="B65" s="63" t="s">
        <v>1219</v>
      </c>
      <c r="C65" s="410"/>
      <c r="D65" s="411"/>
      <c r="E65" s="79" t="s">
        <v>1220</v>
      </c>
    </row>
    <row r="66" spans="2:5" ht="18" customHeight="1" x14ac:dyDescent="0.25"/>
    <row r="67" spans="2:5" ht="126.75" customHeight="1" x14ac:dyDescent="0.25">
      <c r="B67" s="28" t="s">
        <v>1221</v>
      </c>
      <c r="C67" s="375">
        <v>36</v>
      </c>
      <c r="E67" s="28" t="s">
        <v>1222</v>
      </c>
    </row>
    <row r="68" spans="2:5" ht="15" customHeight="1" x14ac:dyDescent="0.25">
      <c r="B68" s="3" t="s">
        <v>1223</v>
      </c>
      <c r="C68" s="412">
        <f>$C$18</f>
        <v>1.3333333333333333</v>
      </c>
      <c r="E68" s="3" t="s">
        <v>1224</v>
      </c>
    </row>
    <row r="69" spans="2:5" ht="137.25" customHeight="1" x14ac:dyDescent="0.25">
      <c r="B69" s="3" t="s">
        <v>1225</v>
      </c>
      <c r="E69" s="3" t="s">
        <v>1226</v>
      </c>
    </row>
  </sheetData>
  <mergeCells count="6">
    <mergeCell ref="A58:F58"/>
    <mergeCell ref="A2:F2"/>
    <mergeCell ref="A3:F3"/>
    <mergeCell ref="A5:F5"/>
    <mergeCell ref="A10:F10"/>
    <mergeCell ref="A53:F53"/>
  </mergeCells>
  <pageMargins left="0.75" right="0.75" top="1" bottom="1" header="0.511811023622047" footer="0.511811023622047"/>
  <pageSetup paperSize="9" fitToHeight="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A2540"/>
    <pageSetUpPr fitToPage="1"/>
  </sheetPr>
  <dimension ref="A1:I86"/>
  <sheetViews>
    <sheetView showGridLines="0" tabSelected="1" zoomScale="90" zoomScaleNormal="90" workbookViewId="0">
      <selection activeCell="I9" sqref="I9"/>
    </sheetView>
  </sheetViews>
  <sheetFormatPr defaultColWidth="8.7109375" defaultRowHeight="15" x14ac:dyDescent="0.25"/>
  <cols>
    <col min="1" max="1" width="41.140625" customWidth="1"/>
    <col min="2" max="2" width="46" customWidth="1"/>
    <col min="3" max="3" width="20" style="103" customWidth="1"/>
    <col min="4" max="4" width="17" customWidth="1"/>
    <col min="5" max="5" width="62" customWidth="1"/>
    <col min="6" max="6" width="17" customWidth="1"/>
    <col min="7" max="7" width="14" customWidth="1"/>
    <col min="8" max="8" width="18" customWidth="1"/>
  </cols>
  <sheetData>
    <row r="1" spans="1:8" ht="113.25" customHeight="1" x14ac:dyDescent="0.25">
      <c r="A1" s="499" t="s">
        <v>1227</v>
      </c>
      <c r="B1" s="499"/>
      <c r="C1" s="499"/>
      <c r="D1" s="499"/>
      <c r="E1" s="499"/>
    </row>
    <row r="2" spans="1:8" ht="42" customHeight="1" x14ac:dyDescent="0.25">
      <c r="A2" s="500" t="s">
        <v>1228</v>
      </c>
      <c r="B2" s="500"/>
      <c r="C2" s="500"/>
      <c r="D2" s="500"/>
      <c r="E2" s="500"/>
    </row>
    <row r="3" spans="1:8" ht="18" customHeight="1" x14ac:dyDescent="0.25"/>
    <row r="4" spans="1:8" ht="24" customHeight="1" x14ac:dyDescent="0.25">
      <c r="A4" s="501" t="s">
        <v>1229</v>
      </c>
      <c r="B4" s="501"/>
      <c r="C4" s="501"/>
      <c r="D4" s="501"/>
      <c r="E4" s="501"/>
      <c r="F4" s="5"/>
      <c r="G4" s="5"/>
      <c r="H4" s="5"/>
    </row>
    <row r="5" spans="1:8" ht="24" customHeight="1" x14ac:dyDescent="0.25">
      <c r="B5" s="413" t="s">
        <v>1184</v>
      </c>
      <c r="C5" s="414" t="s">
        <v>39</v>
      </c>
      <c r="D5" s="413" t="s">
        <v>1230</v>
      </c>
      <c r="E5" s="413" t="s">
        <v>1231</v>
      </c>
    </row>
    <row r="6" spans="1:8" ht="45.75" customHeight="1" x14ac:dyDescent="0.25">
      <c r="B6" s="53" t="s">
        <v>1232</v>
      </c>
      <c r="C6" s="340">
        <f>'4b_Value_Pools_by_Capability'!$E$28</f>
        <v>484890000</v>
      </c>
      <c r="D6" s="403">
        <f>IF($C$6=0,0,C6/$C$6)</f>
        <v>1</v>
      </c>
      <c r="E6" s="28" t="s">
        <v>1233</v>
      </c>
    </row>
    <row r="7" spans="1:8" ht="45.75" customHeight="1" x14ac:dyDescent="0.25">
      <c r="B7" s="64" t="s">
        <v>1234</v>
      </c>
      <c r="C7" s="391">
        <f>'4b_Value_Pools_by_Capability'!$E$29</f>
        <v>49628021.44286444</v>
      </c>
      <c r="D7" s="336">
        <f>IF($C$6=0,0,C7/$C$6)</f>
        <v>0.10234903059016362</v>
      </c>
      <c r="E7" s="3" t="s">
        <v>1235</v>
      </c>
    </row>
    <row r="8" spans="1:8" ht="45.75" customHeight="1" x14ac:dyDescent="0.25">
      <c r="B8" s="53" t="s">
        <v>1236</v>
      </c>
      <c r="C8" s="340">
        <f>'5_Implementation_Feasibility'!$E$14</f>
        <v>45273136.912409887</v>
      </c>
      <c r="D8" s="403">
        <f>IF($C$6=0,0,C8/$C$6)</f>
        <v>9.3367850259666901E-2</v>
      </c>
      <c r="E8" s="28" t="s">
        <v>1237</v>
      </c>
    </row>
    <row r="9" spans="1:8" ht="45.75" customHeight="1" x14ac:dyDescent="0.25">
      <c r="B9" s="64" t="s">
        <v>1238</v>
      </c>
      <c r="C9" s="391">
        <f>'4b_Value_Pools_by_Capability'!$E$38</f>
        <v>43452133.868468836</v>
      </c>
      <c r="D9" s="336">
        <f>IF($C$6=0,0,C9/$C$6)</f>
        <v>8.9612353045987414E-2</v>
      </c>
      <c r="E9" s="3" t="s">
        <v>1239</v>
      </c>
    </row>
    <row r="10" spans="1:8" ht="30" customHeight="1" x14ac:dyDescent="0.25">
      <c r="A10" s="176"/>
      <c r="B10" s="53" t="s">
        <v>1240</v>
      </c>
      <c r="C10" s="340">
        <f>C9</f>
        <v>43452133.868468836</v>
      </c>
      <c r="D10" s="176"/>
      <c r="E10" s="53" t="s">
        <v>1241</v>
      </c>
    </row>
    <row r="11" spans="1:8" ht="18" customHeight="1" x14ac:dyDescent="0.25"/>
    <row r="12" spans="1:8" ht="24" customHeight="1" x14ac:dyDescent="0.25">
      <c r="A12" s="1" t="s">
        <v>1242</v>
      </c>
      <c r="B12" s="5"/>
      <c r="C12" s="415"/>
      <c r="D12" s="5"/>
      <c r="E12" s="5"/>
      <c r="F12" s="5"/>
      <c r="G12" s="5"/>
      <c r="H12" s="5"/>
    </row>
    <row r="13" spans="1:8" ht="39.75" customHeight="1" x14ac:dyDescent="0.25">
      <c r="A13" s="498" t="s">
        <v>1243</v>
      </c>
      <c r="B13" s="498"/>
      <c r="C13" s="498"/>
      <c r="D13" s="498"/>
      <c r="E13" s="498"/>
    </row>
    <row r="14" spans="1:8" ht="25.5" customHeight="1" x14ac:dyDescent="0.25">
      <c r="B14" s="416"/>
      <c r="C14" s="417"/>
      <c r="E14" s="364"/>
    </row>
    <row r="15" spans="1:8" ht="15" customHeight="1" x14ac:dyDescent="0.25">
      <c r="B15" s="3" t="s">
        <v>1244</v>
      </c>
      <c r="C15" s="418">
        <f>'4b_Value_Pools_by_Capability'!$E$40</f>
        <v>25959292.215029925</v>
      </c>
      <c r="E15" s="3" t="s">
        <v>1245</v>
      </c>
    </row>
    <row r="16" spans="1:8" ht="18" customHeight="1" x14ac:dyDescent="0.25">
      <c r="A16" s="419"/>
      <c r="B16" s="28" t="s">
        <v>1246</v>
      </c>
      <c r="C16" s="420">
        <f>'4b_Value_Pools_by_Capability'!$E$41</f>
        <v>17492841.653438918</v>
      </c>
      <c r="E16" s="28" t="s">
        <v>1247</v>
      </c>
    </row>
    <row r="17" spans="1:8" ht="33.75" customHeight="1" x14ac:dyDescent="0.25">
      <c r="B17" s="3" t="s">
        <v>1248</v>
      </c>
      <c r="C17" s="418">
        <f>C15+C16</f>
        <v>43452133.868468843</v>
      </c>
      <c r="E17" s="3" t="s">
        <v>1249</v>
      </c>
    </row>
    <row r="18" spans="1:8" ht="15" customHeight="1" x14ac:dyDescent="0.25">
      <c r="A18" s="53" t="s">
        <v>1250</v>
      </c>
      <c r="B18" s="28" t="s">
        <v>1251</v>
      </c>
      <c r="C18" s="398">
        <v>1</v>
      </c>
      <c r="E18" s="28" t="s">
        <v>1252</v>
      </c>
    </row>
    <row r="19" spans="1:8" ht="18" customHeight="1" x14ac:dyDescent="0.25">
      <c r="A19" s="419"/>
      <c r="B19" s="3" t="s">
        <v>1253</v>
      </c>
      <c r="C19" s="418">
        <f>C15*$C$18</f>
        <v>25959292.215029925</v>
      </c>
    </row>
    <row r="20" spans="1:8" ht="36" customHeight="1" x14ac:dyDescent="0.25">
      <c r="A20" s="176"/>
      <c r="B20" s="3" t="s">
        <v>1254</v>
      </c>
      <c r="C20" s="421">
        <f>C16*$C$18</f>
        <v>17492841.653438918</v>
      </c>
      <c r="D20" s="176"/>
      <c r="E20" s="422"/>
    </row>
    <row r="21" spans="1:8" ht="15.75" customHeight="1" x14ac:dyDescent="0.25">
      <c r="B21" s="423"/>
      <c r="C21" s="424"/>
      <c r="E21" s="422"/>
    </row>
    <row r="22" spans="1:8" ht="25.5" customHeight="1" x14ac:dyDescent="0.25">
      <c r="A22" s="1"/>
      <c r="B22" s="29" t="s">
        <v>1255</v>
      </c>
      <c r="C22" s="425"/>
      <c r="D22" s="426"/>
      <c r="E22" s="427"/>
      <c r="F22" s="5"/>
      <c r="G22" s="5"/>
      <c r="H22" s="5"/>
    </row>
    <row r="23" spans="1:8" ht="31.5" customHeight="1" x14ac:dyDescent="0.25">
      <c r="B23" s="30" t="s">
        <v>1256</v>
      </c>
      <c r="C23" s="123"/>
      <c r="E23" s="3"/>
    </row>
    <row r="24" spans="1:8" ht="21.75" customHeight="1" x14ac:dyDescent="0.25">
      <c r="B24" s="28"/>
      <c r="C24" s="123"/>
      <c r="E24" s="28"/>
    </row>
    <row r="25" spans="1:8" ht="18" customHeight="1" x14ac:dyDescent="0.25">
      <c r="A25" s="419"/>
      <c r="B25" s="11" t="s">
        <v>1257</v>
      </c>
      <c r="C25" s="12">
        <f>'0_AI_to_EV_Bridge'!$C$8</f>
        <v>1200000000</v>
      </c>
      <c r="D25" s="9"/>
      <c r="E25" s="13" t="s">
        <v>1258</v>
      </c>
      <c r="F25" s="9"/>
      <c r="G25" s="9"/>
    </row>
    <row r="26" spans="1:8" ht="18" customHeight="1" x14ac:dyDescent="0.25">
      <c r="B26" s="7" t="s">
        <v>1259</v>
      </c>
      <c r="C26" s="428">
        <f>'0_AI_to_EV_Bridge'!$C$12</f>
        <v>9.1666666666666661</v>
      </c>
      <c r="D26" s="429"/>
      <c r="E26" s="10" t="s">
        <v>1260</v>
      </c>
      <c r="F26" s="9"/>
      <c r="G26" s="9"/>
    </row>
    <row r="27" spans="1:8" ht="18" customHeight="1" x14ac:dyDescent="0.25">
      <c r="B27" s="430" t="s">
        <v>23</v>
      </c>
      <c r="C27" s="12">
        <f>'0_AI_to_EV_Bridge'!$C$7</f>
        <v>11000000000</v>
      </c>
      <c r="D27" s="431"/>
      <c r="E27" s="13" t="s">
        <v>1258</v>
      </c>
      <c r="F27" s="9"/>
      <c r="G27" s="9"/>
    </row>
    <row r="28" spans="1:8" ht="18" customHeight="1" x14ac:dyDescent="0.25">
      <c r="B28" s="432" t="s">
        <v>1261</v>
      </c>
      <c r="C28" s="12">
        <f>$C$19</f>
        <v>25959292.215029925</v>
      </c>
      <c r="D28" s="431"/>
      <c r="E28" s="10" t="s">
        <v>1262</v>
      </c>
      <c r="F28" s="9"/>
      <c r="G28" s="9"/>
    </row>
    <row r="29" spans="1:8" ht="18" customHeight="1" x14ac:dyDescent="0.25">
      <c r="A29" s="433"/>
      <c r="B29" s="430" t="s">
        <v>1263</v>
      </c>
      <c r="C29" s="434">
        <f>'6_Implementation_Cost'!$C$64</f>
        <v>16295148.741702937</v>
      </c>
      <c r="D29" s="431"/>
      <c r="E29" s="13" t="s">
        <v>1264</v>
      </c>
      <c r="F29" s="9"/>
      <c r="G29" s="9"/>
    </row>
    <row r="30" spans="1:8" ht="24" customHeight="1" x14ac:dyDescent="0.25">
      <c r="A30" s="433"/>
      <c r="B30" s="432"/>
      <c r="C30" s="435"/>
      <c r="D30" s="431"/>
      <c r="E30" s="10"/>
      <c r="F30" s="9"/>
      <c r="G30" s="9"/>
    </row>
    <row r="31" spans="1:8" ht="24" customHeight="1" x14ac:dyDescent="0.25">
      <c r="A31" s="1"/>
      <c r="B31" s="436"/>
      <c r="C31" s="437"/>
      <c r="D31" s="438"/>
      <c r="E31" s="427"/>
      <c r="F31" s="5"/>
      <c r="G31" s="5"/>
      <c r="H31" s="5"/>
    </row>
    <row r="32" spans="1:8" ht="21.75" customHeight="1" x14ac:dyDescent="0.25">
      <c r="B32" s="439" t="s">
        <v>978</v>
      </c>
      <c r="C32" s="440" t="s">
        <v>4</v>
      </c>
      <c r="D32" s="441" t="s">
        <v>981</v>
      </c>
      <c r="E32" s="207" t="s">
        <v>982</v>
      </c>
      <c r="F32" s="307" t="s">
        <v>1265</v>
      </c>
      <c r="G32" s="307" t="s">
        <v>1266</v>
      </c>
    </row>
    <row r="33" spans="1:9" ht="19.5" customHeight="1" x14ac:dyDescent="0.25">
      <c r="B33" s="442" t="s">
        <v>1267</v>
      </c>
      <c r="C33" s="443">
        <f>$C$25+$C$28*0</f>
        <v>1200000000</v>
      </c>
      <c r="D33" s="444">
        <f>'4m_Exit_Multiple'!$E$22</f>
        <v>9.1666666666666661</v>
      </c>
      <c r="E33" s="445">
        <f>$C33*$D33</f>
        <v>11000000000</v>
      </c>
      <c r="F33" s="443">
        <f>$E33-$C$27</f>
        <v>0</v>
      </c>
      <c r="G33" s="323">
        <f>$F33-$C$29</f>
        <v>-16295148.741702937</v>
      </c>
    </row>
    <row r="34" spans="1:9" ht="19.5" customHeight="1" x14ac:dyDescent="0.25">
      <c r="A34" s="409"/>
      <c r="B34" s="21" t="s">
        <v>985</v>
      </c>
      <c r="C34" s="37">
        <f>$C$25+$C$28*0.46</f>
        <v>1211941274.4189138</v>
      </c>
      <c r="D34" s="446">
        <f>'4m_Exit_Multiple'!$E$23</f>
        <v>9.2865018964446637</v>
      </c>
      <c r="E34" s="447">
        <f>$C34*$D34</f>
        <v>11254694943.270805</v>
      </c>
      <c r="F34" s="40">
        <f>$E34-$C$27</f>
        <v>254694943.27080536</v>
      </c>
      <c r="G34" s="321">
        <f>$F34-$C$29</f>
        <v>238399794.52910241</v>
      </c>
    </row>
    <row r="35" spans="1:9" ht="19.5" customHeight="1" x14ac:dyDescent="0.25">
      <c r="B35" s="210" t="s">
        <v>986</v>
      </c>
      <c r="C35" s="443">
        <f>$C$25+$C$28*0.93</f>
        <v>1224142141.7599778</v>
      </c>
      <c r="D35" s="444">
        <f>'4m_Exit_Multiple'!$E$24</f>
        <v>9.4089422399134879</v>
      </c>
      <c r="E35" s="445">
        <f>$C35*$D35</f>
        <v>11517882705.26362</v>
      </c>
      <c r="F35" s="443">
        <f>$E35-$C$27</f>
        <v>517882705.26362038</v>
      </c>
      <c r="G35" s="323">
        <f>$F35-$C$29</f>
        <v>501587556.52191746</v>
      </c>
    </row>
    <row r="36" spans="1:9" ht="19.5" customHeight="1" x14ac:dyDescent="0.25">
      <c r="A36" s="433"/>
      <c r="B36" s="21" t="s">
        <v>1268</v>
      </c>
      <c r="C36" s="37">
        <f>$C$25+$C$28*1</f>
        <v>1225959292.21503</v>
      </c>
      <c r="D36" s="446">
        <f>'4m_Exit_Multiple'!$E$25</f>
        <v>9.4271780357492716</v>
      </c>
      <c r="E36" s="447">
        <f>$C36*$D36</f>
        <v>11557336512.292253</v>
      </c>
      <c r="F36" s="40">
        <f>$E36-$C$27</f>
        <v>557336512.29225349</v>
      </c>
      <c r="G36" s="321">
        <f>$F36-$C$29</f>
        <v>541041363.55055058</v>
      </c>
    </row>
    <row r="37" spans="1:9" ht="18" customHeight="1" x14ac:dyDescent="0.25">
      <c r="A37" s="433"/>
      <c r="B37" s="448"/>
      <c r="C37" s="449"/>
      <c r="D37" s="51"/>
      <c r="E37" s="52"/>
      <c r="F37" s="51"/>
      <c r="G37" s="51"/>
    </row>
    <row r="38" spans="1:9" ht="18" customHeight="1" x14ac:dyDescent="0.25">
      <c r="B38" s="450" t="s">
        <v>1269</v>
      </c>
      <c r="C38" s="451">
        <f>IFERROR($G35/$C$29,0)</f>
        <v>30.781403991621293</v>
      </c>
      <c r="D38" s="452"/>
      <c r="E38" s="453" t="s">
        <v>1270</v>
      </c>
      <c r="F38" s="452"/>
      <c r="G38" s="51"/>
    </row>
    <row r="39" spans="1:9" ht="18" customHeight="1" x14ac:dyDescent="0.25">
      <c r="B39" s="454"/>
      <c r="C39" s="55"/>
      <c r="D39" s="455"/>
      <c r="E39" s="456"/>
      <c r="F39" s="9"/>
      <c r="G39" s="9"/>
    </row>
    <row r="40" spans="1:9" ht="24" customHeight="1" x14ac:dyDescent="0.25">
      <c r="B40" s="454"/>
      <c r="C40" s="457"/>
      <c r="D40" s="455"/>
      <c r="E40" s="456"/>
      <c r="F40" s="9"/>
      <c r="G40" s="9"/>
    </row>
    <row r="41" spans="1:9" ht="18" customHeight="1" x14ac:dyDescent="0.25">
      <c r="B41" s="458" t="s">
        <v>1271</v>
      </c>
      <c r="C41" s="459"/>
      <c r="D41" s="455"/>
      <c r="E41" s="456"/>
      <c r="F41" s="9"/>
      <c r="G41" s="9"/>
    </row>
    <row r="42" spans="1:9" ht="24" customHeight="1" x14ac:dyDescent="0.25">
      <c r="A42" s="460"/>
      <c r="B42" s="327" t="s">
        <v>1272</v>
      </c>
    </row>
    <row r="43" spans="1:9" ht="24" customHeight="1" x14ac:dyDescent="0.25">
      <c r="A43" s="422"/>
      <c r="B43" s="461" t="s">
        <v>1273</v>
      </c>
      <c r="C43" s="462"/>
      <c r="D43" s="463"/>
      <c r="E43" s="464"/>
      <c r="F43" s="465"/>
    </row>
    <row r="44" spans="1:9" ht="24" customHeight="1" x14ac:dyDescent="0.25">
      <c r="B44" s="461" t="s">
        <v>1274</v>
      </c>
      <c r="C44" s="462"/>
      <c r="D44" s="463"/>
      <c r="E44" s="464"/>
      <c r="F44" s="465"/>
    </row>
    <row r="45" spans="1:9" ht="24" customHeight="1" x14ac:dyDescent="0.25">
      <c r="B45" s="461" t="s">
        <v>1275</v>
      </c>
      <c r="C45" s="462"/>
      <c r="D45" s="463"/>
      <c r="E45" s="464"/>
      <c r="F45" s="465"/>
    </row>
    <row r="46" spans="1:9" ht="24" customHeight="1" x14ac:dyDescent="0.25">
      <c r="B46" s="328" t="s">
        <v>1276</v>
      </c>
      <c r="C46" s="466"/>
      <c r="E46" s="65"/>
    </row>
    <row r="47" spans="1:9" ht="24" customHeight="1" x14ac:dyDescent="0.25">
      <c r="A47" s="3"/>
      <c r="B47" s="328" t="s">
        <v>1277</v>
      </c>
    </row>
    <row r="48" spans="1:9" ht="21.75" customHeight="1" x14ac:dyDescent="0.25">
      <c r="B48" s="306"/>
      <c r="C48" s="307"/>
      <c r="D48" s="307"/>
      <c r="E48" s="307"/>
      <c r="F48" s="307"/>
      <c r="G48" s="307"/>
      <c r="H48" s="307"/>
      <c r="I48" s="294"/>
    </row>
    <row r="49" spans="1:9" ht="19.5" customHeight="1" x14ac:dyDescent="0.25">
      <c r="A49" s="64"/>
      <c r="B49" s="308"/>
      <c r="C49" s="467"/>
      <c r="D49" s="468"/>
      <c r="E49" s="468"/>
      <c r="F49" s="443"/>
      <c r="G49" s="469"/>
      <c r="H49" s="443"/>
      <c r="I49" s="470"/>
    </row>
    <row r="50" spans="1:9" ht="19.5" customHeight="1" x14ac:dyDescent="0.25">
      <c r="A50" s="3"/>
      <c r="B50" s="471" t="s">
        <v>1278</v>
      </c>
      <c r="C50" s="472"/>
      <c r="D50" s="473"/>
      <c r="E50" s="473"/>
      <c r="F50" s="40"/>
      <c r="G50" s="474"/>
      <c r="H50" s="40"/>
      <c r="I50" s="475"/>
    </row>
    <row r="51" spans="1:9" ht="30" customHeight="1" x14ac:dyDescent="0.25">
      <c r="B51" s="476" t="s">
        <v>1279</v>
      </c>
      <c r="C51" s="467"/>
      <c r="D51" s="468"/>
      <c r="E51" s="468"/>
      <c r="F51" s="443"/>
      <c r="G51" s="469"/>
      <c r="H51" s="443"/>
      <c r="I51" s="470"/>
    </row>
    <row r="52" spans="1:9" ht="19.5" customHeight="1" x14ac:dyDescent="0.25">
      <c r="A52" s="139"/>
      <c r="B52" s="477"/>
      <c r="C52" s="478"/>
      <c r="D52" s="479"/>
      <c r="E52" s="479"/>
      <c r="F52" s="480"/>
      <c r="G52" s="481"/>
      <c r="H52" s="480"/>
      <c r="I52" s="475"/>
    </row>
    <row r="53" spans="1:9" ht="15" customHeight="1" x14ac:dyDescent="0.25">
      <c r="A53" s="79"/>
      <c r="B53" s="482" t="s">
        <v>1280</v>
      </c>
      <c r="C53" s="483" t="s">
        <v>1281</v>
      </c>
      <c r="D53" s="484" t="s">
        <v>1282</v>
      </c>
      <c r="E53" s="484" t="s">
        <v>1283</v>
      </c>
      <c r="F53" s="484" t="s">
        <v>1284</v>
      </c>
      <c r="G53" s="441" t="s">
        <v>1285</v>
      </c>
      <c r="H53" s="307" t="s">
        <v>1286</v>
      </c>
    </row>
    <row r="54" spans="1:9" ht="24" customHeight="1" x14ac:dyDescent="0.25">
      <c r="A54" s="75"/>
      <c r="B54" s="485">
        <v>1</v>
      </c>
      <c r="C54" s="309">
        <v>0.128887605836907</v>
      </c>
      <c r="D54" s="443">
        <f>$C$9*$C54</f>
        <v>5600441.502811728</v>
      </c>
      <c r="E54" s="443">
        <v>-2500000</v>
      </c>
      <c r="F54" s="443">
        <v>-7500000</v>
      </c>
      <c r="G54" s="443">
        <f>$D54+$E54+$F54</f>
        <v>-4399558.497188272</v>
      </c>
      <c r="H54" s="443">
        <f>$G54/(1+'6_Implementation_Cost'!$C$56)^1</f>
        <v>-3999598.6338075195</v>
      </c>
      <c r="I54" s="9"/>
    </row>
    <row r="55" spans="1:9" ht="15" customHeight="1" x14ac:dyDescent="0.25">
      <c r="A55" s="79"/>
      <c r="B55" s="486">
        <v>2</v>
      </c>
      <c r="C55" s="314">
        <v>0.48580018062063202</v>
      </c>
      <c r="D55" s="40">
        <f>$C$9*$C55</f>
        <v>21109054.481654041</v>
      </c>
      <c r="E55" s="40">
        <v>-2500000</v>
      </c>
      <c r="F55" s="40" t="s">
        <v>1287</v>
      </c>
      <c r="G55" s="40">
        <f>$D55+$E55+$F55</f>
        <v>18609054.481654041</v>
      </c>
      <c r="H55" s="40">
        <f>$G55/(1+'6_Implementation_Cost'!$C$56)^2</f>
        <v>15379383.869135568</v>
      </c>
      <c r="I55" s="9"/>
    </row>
    <row r="56" spans="1:9" ht="24" customHeight="1" x14ac:dyDescent="0.25">
      <c r="A56" s="75"/>
      <c r="B56" s="485">
        <v>3</v>
      </c>
      <c r="C56" s="309">
        <v>0.84271275540435797</v>
      </c>
      <c r="D56" s="443">
        <f>$C$9*$C56</f>
        <v>36617667.460496396</v>
      </c>
      <c r="E56" s="443">
        <v>-2500000</v>
      </c>
      <c r="F56" s="443" t="s">
        <v>1287</v>
      </c>
      <c r="G56" s="443">
        <f>$D56+$E56+$F56</f>
        <v>34117667.460496396</v>
      </c>
      <c r="H56" s="443">
        <f>$G56/(1+'6_Implementation_Cost'!$C$56)^3</f>
        <v>25633108.53530908</v>
      </c>
      <c r="I56" s="9"/>
    </row>
    <row r="57" spans="1:9" ht="18" customHeight="1" x14ac:dyDescent="0.25">
      <c r="B57" s="487">
        <v>4</v>
      </c>
      <c r="C57" s="314">
        <v>0.97160036124126403</v>
      </c>
      <c r="D57" s="40">
        <f>$C$9*$C57</f>
        <v>42218108.963308081</v>
      </c>
      <c r="E57" s="40">
        <v>-2500000</v>
      </c>
      <c r="F57" s="40" t="s">
        <v>1287</v>
      </c>
      <c r="G57" s="40">
        <f>$D57+$E57+$F57</f>
        <v>39718108.963308081</v>
      </c>
      <c r="H57" s="40">
        <f>$G57/(1+'6_Implementation_Cost'!$C$56)^4</f>
        <v>27128002.84359543</v>
      </c>
    </row>
    <row r="58" spans="1:9" ht="25.5" customHeight="1" x14ac:dyDescent="0.25">
      <c r="A58" s="3"/>
      <c r="B58" s="488">
        <v>5</v>
      </c>
      <c r="C58" s="309">
        <v>1</v>
      </c>
      <c r="D58" s="443">
        <f>$C$9*$C58</f>
        <v>43452133.868468836</v>
      </c>
      <c r="E58" s="443">
        <v>-2500000</v>
      </c>
      <c r="F58" s="443" t="s">
        <v>1287</v>
      </c>
      <c r="G58" s="443">
        <f>$D58+$E58+$F58</f>
        <v>40952133.868468836</v>
      </c>
      <c r="H58" s="443">
        <f>$G58/(1+'6_Implementation_Cost'!$C$56)^5</f>
        <v>25428053.143705301</v>
      </c>
    </row>
    <row r="59" spans="1:9" ht="15" customHeight="1" x14ac:dyDescent="0.25">
      <c r="B59" s="44" t="s">
        <v>1288</v>
      </c>
      <c r="C59" s="35">
        <f>SUM($H$54:$H$58)</f>
        <v>89568949.757937849</v>
      </c>
      <c r="D59" s="9"/>
      <c r="E59" s="13" t="s">
        <v>1289</v>
      </c>
      <c r="F59" s="9"/>
      <c r="G59" s="9"/>
      <c r="H59" s="9"/>
    </row>
    <row r="60" spans="1:9" ht="15" customHeight="1" x14ac:dyDescent="0.25">
      <c r="B60" s="44" t="s">
        <v>1290</v>
      </c>
      <c r="C60" s="35">
        <f>$C$9*'4m_Exit_Multiple'!$E$24/(1+'6_Implementation_Cost'!$C$56)^5</f>
        <v>253856615.4630594</v>
      </c>
      <c r="D60" s="9"/>
      <c r="E60" s="13" t="s">
        <v>1291</v>
      </c>
      <c r="F60" s="9"/>
      <c r="G60" s="9"/>
      <c r="H60" s="9"/>
    </row>
    <row r="61" spans="1:9" ht="15" customHeight="1" x14ac:dyDescent="0.25">
      <c r="B61" s="49" t="s">
        <v>1292</v>
      </c>
      <c r="C61" s="489">
        <f>$C$59+$C$60</f>
        <v>343425565.22099721</v>
      </c>
      <c r="D61" s="51"/>
      <c r="E61" s="52" t="s">
        <v>1293</v>
      </c>
      <c r="F61" s="51"/>
      <c r="G61" s="51"/>
      <c r="H61" s="51"/>
    </row>
    <row r="64" spans="1:9" ht="15" customHeight="1" x14ac:dyDescent="0.25">
      <c r="B64" s="292" t="s">
        <v>1294</v>
      </c>
    </row>
    <row r="65" spans="2:8" ht="30" customHeight="1" x14ac:dyDescent="0.25">
      <c r="B65" s="30" t="s">
        <v>1295</v>
      </c>
    </row>
    <row r="67" spans="2:8" ht="24" customHeight="1" x14ac:dyDescent="0.25">
      <c r="B67" s="15" t="s">
        <v>1296</v>
      </c>
      <c r="C67" s="490">
        <v>2.5</v>
      </c>
      <c r="D67" s="9"/>
      <c r="E67" s="13" t="s">
        <v>1297</v>
      </c>
      <c r="F67" s="9"/>
      <c r="G67" s="9"/>
      <c r="H67" s="9"/>
    </row>
    <row r="68" spans="2:8" ht="18" customHeight="1" x14ac:dyDescent="0.25">
      <c r="B68" s="15" t="s">
        <v>1298</v>
      </c>
      <c r="C68" s="491">
        <v>5</v>
      </c>
      <c r="D68" s="9"/>
      <c r="E68" s="13" t="s">
        <v>1299</v>
      </c>
      <c r="F68" s="9"/>
      <c r="G68" s="9"/>
      <c r="H68" s="9"/>
    </row>
    <row r="69" spans="2:8" ht="18" customHeight="1" x14ac:dyDescent="0.25">
      <c r="B69" s="15" t="s">
        <v>1300</v>
      </c>
      <c r="C69" s="492">
        <v>0.5</v>
      </c>
      <c r="D69" s="9"/>
      <c r="E69" s="13" t="s">
        <v>1301</v>
      </c>
      <c r="F69" s="9"/>
      <c r="G69" s="9"/>
      <c r="H69" s="9"/>
    </row>
    <row r="70" spans="2:8" ht="18" customHeight="1" x14ac:dyDescent="0.25">
      <c r="B70" s="15" t="s">
        <v>1302</v>
      </c>
      <c r="C70" s="40">
        <f>$C$35</f>
        <v>1224142141.7599778</v>
      </c>
      <c r="D70" s="9"/>
      <c r="E70" s="13" t="s">
        <v>1303</v>
      </c>
      <c r="F70" s="9"/>
      <c r="G70" s="9"/>
      <c r="H70" s="9"/>
    </row>
    <row r="71" spans="2:8" ht="18" customHeight="1" x14ac:dyDescent="0.25">
      <c r="B71" s="15" t="s">
        <v>1304</v>
      </c>
      <c r="C71" s="493">
        <f>'4m_Exit_Multiple'!$E$24</f>
        <v>9.4089422399134879</v>
      </c>
      <c r="D71" s="9"/>
      <c r="E71" s="13" t="s">
        <v>1305</v>
      </c>
      <c r="F71" s="9"/>
      <c r="G71" s="9"/>
      <c r="H71" s="9"/>
    </row>
    <row r="72" spans="2:8" ht="18" customHeight="1" x14ac:dyDescent="0.25">
      <c r="B72" s="15" t="s">
        <v>1306</v>
      </c>
      <c r="C72" s="40">
        <f>$C$35*$D$35</f>
        <v>11517882705.26362</v>
      </c>
      <c r="D72" s="9"/>
      <c r="E72" s="13" t="s">
        <v>1307</v>
      </c>
      <c r="F72" s="9"/>
      <c r="G72" s="9"/>
      <c r="H72" s="9"/>
    </row>
    <row r="73" spans="2:8" ht="18" customHeight="1" x14ac:dyDescent="0.25">
      <c r="B73" s="15" t="s">
        <v>1308</v>
      </c>
      <c r="C73" s="40">
        <f>$C$72*(1-$C$69)</f>
        <v>5758941352.6318102</v>
      </c>
      <c r="D73" s="9"/>
      <c r="E73" s="13" t="s">
        <v>1309</v>
      </c>
      <c r="F73" s="9"/>
      <c r="G73" s="9"/>
      <c r="H73" s="9"/>
    </row>
    <row r="74" spans="2:8" ht="18" customHeight="1" x14ac:dyDescent="0.25">
      <c r="B74" s="15" t="s">
        <v>1310</v>
      </c>
      <c r="C74" s="40">
        <f>IFERROR($C$73/$C$67,0)</f>
        <v>2303576541.0527239</v>
      </c>
      <c r="D74" s="9"/>
      <c r="E74" s="13" t="s">
        <v>1311</v>
      </c>
      <c r="F74" s="9"/>
      <c r="G74" s="9"/>
      <c r="H74" s="9"/>
    </row>
    <row r="75" spans="2:8" ht="18" customHeight="1" x14ac:dyDescent="0.25">
      <c r="B75" s="49" t="s">
        <v>1312</v>
      </c>
      <c r="C75" s="489">
        <f>IFERROR($C$74/(1-$C$69),0)</f>
        <v>4607153082.1054478</v>
      </c>
      <c r="D75" s="51"/>
      <c r="E75" s="52" t="s">
        <v>1313</v>
      </c>
      <c r="F75" s="51"/>
      <c r="G75" s="51"/>
      <c r="H75" s="51"/>
    </row>
    <row r="76" spans="2:8" ht="24" customHeight="1" x14ac:dyDescent="0.25">
      <c r="B76" s="15" t="s">
        <v>1314</v>
      </c>
      <c r="C76" s="494">
        <f>IFERROR($C$75/$C$27-1,0)</f>
        <v>-0.58116790162677745</v>
      </c>
      <c r="D76" s="9"/>
      <c r="E76" s="13" t="s">
        <v>1315</v>
      </c>
      <c r="F76" s="9"/>
      <c r="G76" s="9"/>
      <c r="H76" s="9"/>
    </row>
    <row r="79" spans="2:8" ht="15" customHeight="1" x14ac:dyDescent="0.25">
      <c r="B79" s="292" t="s">
        <v>1316</v>
      </c>
    </row>
    <row r="80" spans="2:8" ht="15" customHeight="1" x14ac:dyDescent="0.25">
      <c r="B80" s="495" t="s">
        <v>1317</v>
      </c>
    </row>
    <row r="81" spans="2:8" ht="15" customHeight="1" x14ac:dyDescent="0.25">
      <c r="B81" s="496" t="s">
        <v>1318</v>
      </c>
      <c r="C81" s="496" t="s">
        <v>982</v>
      </c>
      <c r="E81" s="496" t="s">
        <v>1319</v>
      </c>
    </row>
    <row r="82" spans="2:8" ht="19.5" customHeight="1" x14ac:dyDescent="0.25">
      <c r="B82" s="295" t="s">
        <v>1320</v>
      </c>
      <c r="C82" s="312">
        <f>$E$35</f>
        <v>11517882705.26362</v>
      </c>
      <c r="D82" s="215"/>
      <c r="E82" s="497" t="s">
        <v>1321</v>
      </c>
      <c r="F82" s="215"/>
      <c r="G82" s="215"/>
      <c r="H82" s="215"/>
    </row>
    <row r="83" spans="2:8" ht="19.5" customHeight="1" x14ac:dyDescent="0.25">
      <c r="B83" s="44" t="s">
        <v>1322</v>
      </c>
      <c r="C83" s="317">
        <f>$C$27+$C$61</f>
        <v>11343425565.220997</v>
      </c>
      <c r="D83" s="9"/>
      <c r="E83" s="13" t="s">
        <v>1323</v>
      </c>
      <c r="F83" s="9"/>
      <c r="G83" s="9"/>
      <c r="H83" s="9"/>
    </row>
    <row r="84" spans="2:8" ht="19.5" customHeight="1" x14ac:dyDescent="0.25">
      <c r="B84" s="295" t="s">
        <v>1324</v>
      </c>
      <c r="C84" s="312">
        <f>$C$75</f>
        <v>4607153082.1054478</v>
      </c>
      <c r="D84" s="215"/>
      <c r="E84" s="497" t="s">
        <v>1325</v>
      </c>
      <c r="F84" s="215"/>
      <c r="G84" s="215"/>
      <c r="H84" s="215"/>
    </row>
    <row r="85" spans="2:8" ht="19.5" customHeight="1" x14ac:dyDescent="0.25">
      <c r="B85" s="44" t="s">
        <v>1326</v>
      </c>
      <c r="C85" s="317">
        <f>$C$25*18.1</f>
        <v>21720000000</v>
      </c>
      <c r="D85" s="9"/>
      <c r="E85" s="13" t="s">
        <v>1327</v>
      </c>
      <c r="F85" s="9"/>
      <c r="G85" s="9"/>
      <c r="H85" s="9"/>
    </row>
    <row r="86" spans="2:8" ht="19.5" customHeight="1" x14ac:dyDescent="0.25">
      <c r="B86" s="318" t="s">
        <v>1328</v>
      </c>
      <c r="C86" s="312">
        <f>$C$27</f>
        <v>11000000000</v>
      </c>
      <c r="D86" s="215"/>
      <c r="E86" s="497" t="s">
        <v>1329</v>
      </c>
      <c r="F86" s="215"/>
      <c r="G86" s="215"/>
      <c r="H86" s="215"/>
    </row>
  </sheetData>
  <mergeCells count="4">
    <mergeCell ref="A1:E1"/>
    <mergeCell ref="A2:E2"/>
    <mergeCell ref="A4:E4"/>
    <mergeCell ref="A13:E13"/>
  </mergeCells>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0_AI_to_EV_Bridge</vt:lpstr>
      <vt:lpstr>1_Industry_Rubric</vt:lpstr>
      <vt:lpstr>2_Capability_Assessment</vt:lpstr>
      <vt:lpstr>3_Distance_to_Frontier</vt:lpstr>
      <vt:lpstr>4b_Value_Pools_by_Capability</vt:lpstr>
      <vt:lpstr>4d_Metric_Impact</vt:lpstr>
      <vt:lpstr>4m_Exit_Multiple</vt:lpstr>
      <vt:lpstr>5_Implementation_Feasibility</vt:lpstr>
      <vt:lpstr>6_Implementation_Cost</vt:lpstr>
      <vt:lpstr>7_Value_Timing</vt:lpstr>
      <vt:lpstr>8_Enterprise_Value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to Enterprise Value Workbook</dc:title>
  <dc:subject>Stripe-inspired visual redesign</dc:subject>
  <dc:creator>Loremex</dc:creator>
  <dc:description/>
  <cp:lastModifiedBy>Laura Smilingyte</cp:lastModifiedBy>
  <cp:revision>200</cp:revision>
  <dcterms:created xsi:type="dcterms:W3CDTF">2026-07-24T18:16:35Z</dcterms:created>
  <dcterms:modified xsi:type="dcterms:W3CDTF">2026-09-14T09:48:26Z</dcterms:modified>
  <dc:language>en-US</dc:language>
</cp:coreProperties>
</file>